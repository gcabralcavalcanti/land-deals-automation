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arcels" sheetId="3" state="visible" r:id="rId3"/>
    <sheet xmlns:r="http://schemas.openxmlformats.org/officeDocument/2006/relationships" name="Costs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Strategy" sheetId="7" state="visible" r:id="rId7"/>
    <sheet xmlns:r="http://schemas.openxmlformats.org/officeDocument/2006/relationships" name="Mem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;[Red]-&quot;R$&quot; #,##0"/>
    <numFmt numFmtId="165" formatCode="0.0%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Portfolio NPV by scenario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'Summary'!D18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'Summary'!$A$19:$A$21</f>
            </numRef>
          </cat>
          <val>
            <numRef>
              <f>'Summary'!$D$19:$D$21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NPV by parcel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'Parcels'!M1</f>
            </strRef>
          </tx>
          <spPr>
            <a:ln xmlns:a="http://schemas.openxmlformats.org/drawingml/2006/main">
              <a:prstDash val="solid"/>
            </a:ln>
          </spPr>
          <cat>
            <numRef>
              <f>'Parcels'!$A$2:$A$11</f>
            </numRef>
          </cat>
          <val>
            <numRef>
              <f>'Parcels'!$M$2:$M$11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Portfolio cash flow: monthly net (bars) and cumulative (line)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'Cash flow'!O1</f>
            </strRef>
          </tx>
          <spPr>
            <a:ln xmlns:a="http://schemas.openxmlformats.org/drawingml/2006/main">
              <a:prstDash val="solid"/>
            </a:ln>
          </spPr>
          <cat>
            <numRef>
              <f>'Cash flow'!$A$2:$A$121</f>
            </numRef>
          </cat>
          <val>
            <numRef>
              <f>'Cash flow'!$O$2:$O$121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'Cash flow'!P1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 flow'!$P$2:$P$121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Tornado: change in portfolio NPV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'Sensitivity'!F1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'Sensitivity'!$A$2:$A$8</f>
            </numRef>
          </cat>
          <val>
            <numRef>
              <f>'Sensitivity'!$F$2:$F$8</f>
            </numRef>
          </val>
        </ser>
        <ser>
          <idx val="1"/>
          <order val="1"/>
          <tx>
            <strRef>
              <f>'Sensitivity'!G1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'Sensitivity'!$A$2:$A$8</f>
            </numRef>
          </cat>
          <val>
            <numRef>
              <f>'Sensitivity'!$G$2:$G$8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17</col>
      <colOff>0</colOff>
      <row>1</row>
      <rowOff>0</rowOff>
    </from>
    <ext cx="100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8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4" customWidth="1" min="4" max="4"/>
    <col width="10" customWidth="1" min="5" max="5"/>
    <col width="15" customWidth="1" min="6" max="6"/>
    <col width="10" customWidth="1" min="7" max="7"/>
  </cols>
  <sheetData>
    <row r="1">
      <c r="A1" s="1" t="inlineStr">
        <is>
          <t>Land portfolio - cost x return</t>
        </is>
      </c>
    </row>
    <row r="2">
      <c r="A2" t="inlineStr">
        <is>
          <t>Synthetic data generated by generate_data.py. Assumptions and their sources: sheet Assumptions.</t>
        </is>
      </c>
    </row>
    <row r="4">
      <c r="A4" s="2" t="inlineStr">
        <is>
          <t>Portfolio KPI</t>
        </is>
      </c>
      <c r="B4" s="2" t="inlineStr">
        <is>
          <t>Value</t>
        </is>
      </c>
    </row>
    <row r="5">
      <c r="A5" t="inlineStr">
        <is>
          <t>Parcels</t>
        </is>
      </c>
      <c r="B5" s="3" t="n">
        <v>10</v>
      </c>
    </row>
    <row r="6">
      <c r="A6" t="inlineStr">
        <is>
          <t>VGV (total sales value)</t>
        </is>
      </c>
      <c r="B6" s="4" t="n">
        <v>59478247.76461599</v>
      </c>
    </row>
    <row r="7">
      <c r="A7" t="inlineStr">
        <is>
          <t xml:space="preserve">  of which subdivision</t>
        </is>
      </c>
      <c r="B7" s="4" t="n">
        <v>52157100</v>
      </c>
    </row>
    <row r="8">
      <c r="A8" t="inlineStr">
        <is>
          <t xml:space="preserve">  of which whole-lot resale</t>
        </is>
      </c>
      <c r="B8" s="4" t="n">
        <v>7321147.764615993</v>
      </c>
    </row>
    <row r="9">
      <c r="A9" t="inlineStr">
        <is>
          <t>Net profit (nominal)</t>
        </is>
      </c>
      <c r="B9" s="4" t="n">
        <v>24031662.79606039</v>
      </c>
    </row>
    <row r="10">
      <c r="A10" t="inlineStr">
        <is>
          <t>Margin on VGV</t>
        </is>
      </c>
      <c r="B10" s="5" t="n">
        <v>0.4040412032843542</v>
      </c>
    </row>
    <row r="11">
      <c r="A11" t="inlineStr">
        <is>
          <t>NPV at 14% a year</t>
        </is>
      </c>
      <c r="B11" s="4" t="n">
        <v>2308450.398630451</v>
      </c>
    </row>
    <row r="12">
      <c r="A12" t="inlineStr">
        <is>
          <t>IRR (per year)</t>
        </is>
      </c>
      <c r="B12" s="5" t="n">
        <v>0.1667990804553303</v>
      </c>
    </row>
    <row r="13">
      <c r="A13" t="inlineStr">
        <is>
          <t>Maximum cash exposure</t>
        </is>
      </c>
      <c r="B13" s="4" t="n">
        <v>28551456.69299156</v>
      </c>
    </row>
    <row r="14">
      <c r="A14" t="inlineStr">
        <is>
          <t>Month of maximum exposure</t>
        </is>
      </c>
      <c r="B14" t="inlineStr">
        <is>
          <t>2028-09</t>
        </is>
      </c>
    </row>
    <row r="15">
      <c r="A15" t="inlineStr">
        <is>
          <t>Payback month</t>
        </is>
      </c>
      <c r="B15" t="inlineStr">
        <is>
          <t>2031-02</t>
        </is>
      </c>
    </row>
    <row r="18">
      <c r="A18" s="2" t="inlineStr">
        <is>
          <t>Scenario</t>
        </is>
      </c>
      <c r="B18" s="2" t="inlineStr">
        <is>
          <t>VGV</t>
        </is>
      </c>
      <c r="C18" s="2" t="inlineStr">
        <is>
          <t>Profit</t>
        </is>
      </c>
      <c r="D18" s="2" t="inlineStr">
        <is>
          <t>NPV</t>
        </is>
      </c>
      <c r="E18" s="2" t="inlineStr">
        <is>
          <t>IRR</t>
        </is>
      </c>
      <c r="F18" s="2" t="inlineStr">
        <is>
          <t>Max exposure</t>
        </is>
      </c>
      <c r="G18" s="2" t="inlineStr">
        <is>
          <t>Margin</t>
        </is>
      </c>
    </row>
    <row r="19">
      <c r="A19" t="inlineStr">
        <is>
          <t>pessimistic</t>
        </is>
      </c>
      <c r="B19" s="4" t="n">
        <v>50388091.46496995</v>
      </c>
      <c r="C19" s="4" t="n">
        <v>5193256.880714223</v>
      </c>
      <c r="D19" s="4" t="n">
        <v>-11875307.44668724</v>
      </c>
      <c r="E19" s="5" t="n">
        <v>0.02824590601598409</v>
      </c>
      <c r="F19" s="4" t="n">
        <v>40125941.34693502</v>
      </c>
      <c r="G19" s="5" t="n">
        <v>0.1030651634091877</v>
      </c>
    </row>
    <row r="20">
      <c r="A20" t="inlineStr">
        <is>
          <t>base</t>
        </is>
      </c>
      <c r="B20" s="4" t="n">
        <v>59478247.76461599</v>
      </c>
      <c r="C20" s="4" t="n">
        <v>24031662.79606039</v>
      </c>
      <c r="D20" s="4" t="n">
        <v>2308450.398630451</v>
      </c>
      <c r="E20" s="5" t="n">
        <v>0.1667990804553303</v>
      </c>
      <c r="F20" s="4" t="n">
        <v>28551456.69299156</v>
      </c>
      <c r="G20" s="5" t="n">
        <v>0.4040412032843542</v>
      </c>
    </row>
    <row r="21">
      <c r="A21" t="inlineStr">
        <is>
          <t>optimistic</t>
        </is>
      </c>
      <c r="B21" s="4" t="n">
        <v>65643851.317</v>
      </c>
      <c r="C21" s="4" t="n">
        <v>36100599.57158174</v>
      </c>
      <c r="D21" s="4" t="n">
        <v>12464834.88294094</v>
      </c>
      <c r="E21" s="5" t="n">
        <v>0.3166950171607577</v>
      </c>
      <c r="F21" s="4" t="n">
        <v>20520236.1161685</v>
      </c>
      <c r="G21" s="5" t="n">
        <v>0.549946397831668</v>
      </c>
    </row>
    <row r="22">
      <c r="A22" t="inlineStr">
        <is>
          <t>Pessimistic: lot prices -15%, slower sales (48 months), infrastructure R$ 160/m2, longer holding, lower appreciation, 3% default. Optimistic: the opposite ends of each range.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30" customWidth="1" min="5" max="5"/>
    <col width="90" customWidth="1" min="6" max="6"/>
  </cols>
  <sheetData>
    <row r="1">
      <c r="A1" s="2" t="inlineStr">
        <is>
          <t>Assumption</t>
        </is>
      </c>
      <c r="B1" s="2" t="inlineStr">
        <is>
          <t>Base</t>
        </is>
      </c>
      <c r="C1" s="2" t="inlineStr">
        <is>
          <t>Low</t>
        </is>
      </c>
      <c r="D1" s="2" t="inlineStr">
        <is>
          <t>High</t>
        </is>
      </c>
      <c r="E1" s="2" t="inlineStr">
        <is>
          <t>Unit</t>
        </is>
      </c>
      <c r="F1" s="2" t="inlineStr">
        <is>
          <t>Source</t>
        </is>
      </c>
    </row>
    <row r="2">
      <c r="A2" t="inlineStr">
        <is>
          <t>itbi_rate</t>
        </is>
      </c>
      <c r="B2" t="n">
        <v>0.03</v>
      </c>
      <c r="C2" t="n">
        <v>0.02</v>
      </c>
      <c r="D2" t="n">
        <v>0.03</v>
      </c>
      <c r="E2" t="inlineStr">
        <is>
          <t>share of price</t>
        </is>
      </c>
      <c r="F2" t="inlineStr">
        <is>
          <t>municipal tax; 2-3% is the usual range in SP municipalities (illustrative)</t>
        </is>
      </c>
    </row>
    <row r="3">
      <c r="A3" t="inlineStr">
        <is>
          <t>deed_registry_rate</t>
        </is>
      </c>
      <c r="B3" t="n">
        <v>0.015</v>
      </c>
      <c r="C3" t="n">
        <v>0.01</v>
      </c>
      <c r="D3" t="n">
        <v>0.02</v>
      </c>
      <c r="E3" t="inlineStr">
        <is>
          <t>share of price</t>
        </is>
      </c>
      <c r="F3" t="inlineStr">
        <is>
          <t>notary and registry fees follow state tables (illustrative)</t>
        </is>
      </c>
    </row>
    <row r="4">
      <c r="A4" t="inlineStr">
        <is>
          <t>saleable_ratio</t>
        </is>
      </c>
      <c r="B4" t="n">
        <v>0.6</v>
      </c>
      <c r="C4" t="n">
        <v>0.55</v>
      </c>
      <c r="D4" t="n">
        <v>0.65</v>
      </c>
      <c r="E4" t="inlineStr">
        <is>
          <t>share of gross area</t>
        </is>
      </c>
      <c r="F4" t="inlineStr">
        <is>
          <t>streets and public areas are set by municipal law under Lei 6.766/1979 (illustrative)</t>
        </is>
      </c>
    </row>
    <row r="5">
      <c r="A5" t="inlineStr">
        <is>
          <t>lot_size_m2</t>
        </is>
      </c>
      <c r="B5" t="n">
        <v>300</v>
      </c>
      <c r="C5" t="n">
        <v>250</v>
      </c>
      <c r="D5" t="n">
        <v>360</v>
      </c>
      <c r="E5" t="inlineStr">
        <is>
          <t>m2</t>
        </is>
      </c>
      <c r="F5" t="inlineStr">
        <is>
          <t>illustrative</t>
        </is>
      </c>
    </row>
    <row r="6">
      <c r="A6" t="inlineStr">
        <is>
          <t>topography_per_m2</t>
        </is>
      </c>
      <c r="B6" t="n">
        <v>0.5</v>
      </c>
      <c r="C6" t="n">
        <v>0.3</v>
      </c>
      <c r="D6" t="n">
        <v>0.8</v>
      </c>
      <c r="E6" t="inlineStr">
        <is>
          <t>R$/m2 gross</t>
        </is>
      </c>
      <c r="F6" t="inlineStr">
        <is>
          <t>illustrative</t>
        </is>
      </c>
    </row>
    <row r="7">
      <c r="A7" t="inlineStr">
        <is>
          <t>approval_per_m2</t>
        </is>
      </c>
      <c r="B7" t="n">
        <v>2.5</v>
      </c>
      <c r="C7" t="n">
        <v>1.5</v>
      </c>
      <c r="D7" t="n">
        <v>4</v>
      </c>
      <c r="E7" t="inlineStr">
        <is>
          <t>R$/m2 gross</t>
        </is>
      </c>
      <c r="F7" t="inlineStr">
        <is>
          <t>urban, environmental and city approval projects (illustrative)</t>
        </is>
      </c>
    </row>
    <row r="8">
      <c r="A8" t="inlineStr">
        <is>
          <t>approval_months</t>
        </is>
      </c>
      <c r="B8" t="n">
        <v>12</v>
      </c>
      <c r="C8" t="n">
        <v>8</v>
      </c>
      <c r="D8" t="n">
        <v>24</v>
      </c>
      <c r="E8" t="inlineStr">
        <is>
          <t>months</t>
        </is>
      </c>
      <c r="F8" t="inlineStr">
        <is>
          <t>illustrative</t>
        </is>
      </c>
    </row>
    <row r="9">
      <c r="A9" t="inlineStr">
        <is>
          <t>infra_per_m2</t>
        </is>
      </c>
      <c r="B9" t="n">
        <v>110</v>
      </c>
      <c r="C9" t="n">
        <v>80</v>
      </c>
      <c r="D9" t="n">
        <v>160</v>
      </c>
      <c r="E9" t="inlineStr">
        <is>
          <t>R$/m2 saleable</t>
        </is>
      </c>
      <c r="F9" t="inlineStr">
        <is>
          <t>streets, drainage, water, sewage, power (illustrative)</t>
        </is>
      </c>
    </row>
    <row r="10">
      <c r="A10" t="inlineStr">
        <is>
          <t>infra_months</t>
        </is>
      </c>
      <c r="B10" t="n">
        <v>12</v>
      </c>
      <c r="C10" t="n">
        <v>9</v>
      </c>
      <c r="D10" t="n">
        <v>18</v>
      </c>
      <c r="E10" t="inlineStr">
        <is>
          <t>months</t>
        </is>
      </c>
      <c r="F10" t="inlineStr">
        <is>
          <t>illustrative</t>
        </is>
      </c>
    </row>
    <row r="11">
      <c r="A11" t="inlineStr">
        <is>
          <t>labor_rate</t>
        </is>
      </c>
      <c r="B11" t="n">
        <v>0.08</v>
      </c>
      <c r="C11" t="n">
        <v>0.05</v>
      </c>
      <c r="D11" t="n">
        <v>0.12</v>
      </c>
      <c r="E11" t="inlineStr">
        <is>
          <t>share of infrastructure</t>
        </is>
      </c>
      <c r="F11" t="inlineStr">
        <is>
          <t>site labor and management (illustrative)</t>
        </is>
      </c>
    </row>
    <row r="12">
      <c r="A12" t="inlineStr">
        <is>
          <t>gatehouse</t>
        </is>
      </c>
      <c r="B12" t="n">
        <v>80000</v>
      </c>
      <c r="C12" t="n">
        <v>50000</v>
      </c>
      <c r="D12" t="n">
        <v>120000</v>
      </c>
      <c r="E12" t="inlineStr">
        <is>
          <t>R$ per subdivision</t>
        </is>
      </c>
      <c r="F12" t="inlineStr">
        <is>
          <t>small constructions: gatehouse and sales stand (illustrative)</t>
        </is>
      </c>
    </row>
    <row r="13">
      <c r="A13" t="inlineStr">
        <is>
          <t>fence_per_m</t>
        </is>
      </c>
      <c r="B13" t="n">
        <v>60</v>
      </c>
      <c r="C13" t="n">
        <v>40</v>
      </c>
      <c r="D13" t="n">
        <v>90</v>
      </c>
      <c r="E13" t="inlineStr">
        <is>
          <t>R$/m of perimeter</t>
        </is>
      </c>
      <c r="F13" t="inlineStr">
        <is>
          <t>illustrative</t>
        </is>
      </c>
    </row>
    <row r="14">
      <c r="A14" t="inlineStr">
        <is>
          <t>marketing_rate</t>
        </is>
      </c>
      <c r="B14" t="n">
        <v>0.015</v>
      </c>
      <c r="C14" t="n">
        <v>0.01</v>
      </c>
      <c r="D14" t="n">
        <v>0.025</v>
      </c>
      <c r="E14" t="inlineStr">
        <is>
          <t>share of VGV</t>
        </is>
      </c>
      <c r="F14" t="inlineStr">
        <is>
          <t>illustrative</t>
        </is>
      </c>
    </row>
    <row r="15">
      <c r="A15" t="inlineStr">
        <is>
          <t>maintenance_per_m2_month</t>
        </is>
      </c>
      <c r="B15" t="n">
        <v>0.08</v>
      </c>
      <c r="C15" t="n">
        <v>0.05</v>
      </c>
      <c r="D15" t="n">
        <v>0.12</v>
      </c>
      <c r="E15" t="inlineStr">
        <is>
          <t>R$/m2 of unsold area per month</t>
        </is>
      </c>
      <c r="F15" t="inlineStr">
        <is>
          <t>cleaning, mowing, fence repairs (illustrative)</t>
        </is>
      </c>
    </row>
    <row r="16">
      <c r="A16" t="inlineStr">
        <is>
          <t>iptu_rate</t>
        </is>
      </c>
      <c r="B16" t="n">
        <v>0.01</v>
      </c>
      <c r="C16" t="n">
        <v>0.006</v>
      </c>
      <c r="D16" t="n">
        <v>0.015</v>
      </c>
      <c r="E16" t="inlineStr">
        <is>
          <t>share of land value per year</t>
        </is>
      </c>
      <c r="F16" t="inlineStr">
        <is>
          <t>urban property tax, municipal (illustrative)</t>
        </is>
      </c>
    </row>
    <row r="17">
      <c r="A17" t="inlineStr">
        <is>
          <t>itr_rate</t>
        </is>
      </c>
      <c r="B17" t="n">
        <v>0.003</v>
      </c>
      <c r="C17" t="n">
        <v>0.0003</v>
      </c>
      <c r="D17" t="n">
        <v>0.01</v>
      </c>
      <c r="E17" t="inlineStr">
        <is>
          <t>share of land value per year</t>
        </is>
      </c>
      <c r="F17" t="inlineStr">
        <is>
          <t>rural land tax, rate table of Lei 9.393/1996 (0.03% to 20%); low-use small areas assumed</t>
        </is>
      </c>
    </row>
    <row r="18">
      <c r="A18" t="inlineStr">
        <is>
          <t>car_service</t>
        </is>
      </c>
      <c r="B18" t="n">
        <v>2500</v>
      </c>
      <c r="C18" t="n">
        <v>1500</v>
      </c>
      <c r="D18" t="n">
        <v>4000</v>
      </c>
      <c r="E18" t="inlineStr">
        <is>
          <t>R$ once per rural parcel</t>
        </is>
      </c>
      <c r="F18" t="inlineStr">
        <is>
          <t>CAR registration is free (SICAR); this is the surveyor's fee (illustrative)</t>
        </is>
      </c>
    </row>
    <row r="19">
      <c r="A19" t="inlineStr">
        <is>
          <t>broker_rate</t>
        </is>
      </c>
      <c r="B19" t="n">
        <v>0.05</v>
      </c>
      <c r="C19" t="n">
        <v>0.04</v>
      </c>
      <c r="D19" t="n">
        <v>0.06</v>
      </c>
      <c r="E19" t="inlineStr">
        <is>
          <t>share of sale price</t>
        </is>
      </c>
      <c r="F19" t="inlineStr">
        <is>
          <t>illustrative</t>
        </is>
      </c>
    </row>
    <row r="20">
      <c r="A20" t="inlineStr">
        <is>
          <t>sales_tax_rate</t>
        </is>
      </c>
      <c r="B20" t="n">
        <v>0.0593</v>
      </c>
      <c r="C20" t="n">
        <v>0.0593</v>
      </c>
      <c r="D20" t="n">
        <v>0.0593</v>
      </c>
      <c r="E20" t="inlineStr">
        <is>
          <t>share of receipts</t>
        </is>
      </c>
      <c r="F20" t="inlineStr">
        <is>
          <t>Lucro Presumido: IRPJ 1.2% + CSLL 1.08% (Lei 9.249/1995) + PIS 0.65% + COFINS 3% (Lei 9.718/1998)</t>
        </is>
      </c>
    </row>
    <row r="21">
      <c r="A21" t="inlineStr">
        <is>
          <t>absorption_months</t>
        </is>
      </c>
      <c r="B21" t="n">
        <v>36</v>
      </c>
      <c r="C21" t="n">
        <v>24</v>
      </c>
      <c r="D21" t="n">
        <v>48</v>
      </c>
      <c r="E21" t="inlineStr">
        <is>
          <t>months to sell all lots</t>
        </is>
      </c>
      <c r="F21" t="inlineStr">
        <is>
          <t>author's experience: return takes 2-4 years on average</t>
        </is>
      </c>
    </row>
    <row r="22">
      <c r="A22" t="inlineStr">
        <is>
          <t>lot_price_factor</t>
        </is>
      </c>
      <c r="B22" t="n">
        <v>1</v>
      </c>
      <c r="C22" t="n">
        <v>0.85</v>
      </c>
      <c r="D22" t="n">
        <v>1.1</v>
      </c>
      <c r="E22" t="inlineStr">
        <is>
          <t>x the parcel's lot price/m2</t>
        </is>
      </c>
      <c r="F22" t="inlineStr">
        <is>
          <t>scenario lever</t>
        </is>
      </c>
    </row>
    <row r="23">
      <c r="A23" t="inlineStr">
        <is>
          <t>cash_share</t>
        </is>
      </c>
      <c r="B23" t="n">
        <v>0.3</v>
      </c>
      <c r="C23" t="n">
        <v>0.2</v>
      </c>
      <c r="D23" t="n">
        <v>0.4</v>
      </c>
      <c r="E23" t="inlineStr">
        <is>
          <t>share of sales paid in cash</t>
        </is>
      </c>
      <c r="F23" t="inlineStr">
        <is>
          <t>illustrative</t>
        </is>
      </c>
    </row>
    <row r="24">
      <c r="A24" t="inlineStr">
        <is>
          <t>down_rate</t>
        </is>
      </c>
      <c r="B24" t="n">
        <v>0.2</v>
      </c>
      <c r="C24" t="n">
        <v>0.1</v>
      </c>
      <c r="D24" t="n">
        <v>0.3</v>
      </c>
      <c r="E24" t="inlineStr">
        <is>
          <t>share of price at signing</t>
        </is>
      </c>
      <c r="F24" t="inlineStr">
        <is>
          <t>illustrative</t>
        </is>
      </c>
    </row>
    <row r="25">
      <c r="A25" t="inlineStr">
        <is>
          <t>installments</t>
        </is>
      </c>
      <c r="B25" t="n">
        <v>60</v>
      </c>
      <c r="C25" t="n">
        <v>36</v>
      </c>
      <c r="D25" t="n">
        <v>120</v>
      </c>
      <c r="E25" t="inlineStr">
        <is>
          <t>months</t>
        </is>
      </c>
      <c r="F25" t="inlineStr">
        <is>
          <t>illustrative</t>
        </is>
      </c>
    </row>
    <row r="26">
      <c r="A26" t="inlineStr">
        <is>
          <t>monthly_interest</t>
        </is>
      </c>
      <c r="B26" t="n">
        <v>0.008</v>
      </c>
      <c r="C26" t="n">
        <v>0.005</v>
      </c>
      <c r="D26" t="n">
        <v>0.01</v>
      </c>
      <c r="E26" t="inlineStr">
        <is>
          <t>per month, Price table</t>
        </is>
      </c>
      <c r="F26" t="inlineStr">
        <is>
          <t>illustrative</t>
        </is>
      </c>
    </row>
    <row r="27">
      <c r="A27" t="inlineStr">
        <is>
          <t>index_rate_year</t>
        </is>
      </c>
      <c r="B27" t="n">
        <v>0.045</v>
      </c>
      <c r="C27" t="n">
        <v>0.035</v>
      </c>
      <c r="D27" t="n">
        <v>0.06</v>
      </c>
      <c r="E27" t="inlineStr">
        <is>
          <t>per year, fixed</t>
        </is>
      </c>
      <c r="F27" t="inlineStr">
        <is>
          <t>correction index (IPCA by default) as a fixed assumption, no real series</t>
        </is>
      </c>
    </row>
    <row r="28">
      <c r="A28" t="inlineStr">
        <is>
          <t>default_rate</t>
        </is>
      </c>
      <c r="B28" t="n">
        <v>0.01</v>
      </c>
      <c r="C28" t="n">
        <v>0</v>
      </c>
      <c r="D28" t="n">
        <v>0.03</v>
      </c>
      <c r="E28" t="inlineStr">
        <is>
          <t>share of installments never received</t>
        </is>
      </c>
      <c r="F28" t="inlineStr">
        <is>
          <t>author's experience: delinquency is rare</t>
        </is>
      </c>
    </row>
    <row r="29">
      <c r="A29" t="inlineStr">
        <is>
          <t>hold_months</t>
        </is>
      </c>
      <c r="B29" t="n">
        <v>30</v>
      </c>
      <c r="C29" t="n">
        <v>24</v>
      </c>
      <c r="D29" t="n">
        <v>48</v>
      </c>
      <c r="E29" t="inlineStr">
        <is>
          <t>months until the whole parcel is sold</t>
        </is>
      </c>
      <c r="F29" t="inlineStr">
        <is>
          <t>author's experience: 2-4 years</t>
        </is>
      </c>
    </row>
    <row r="30">
      <c r="A30" t="inlineStr">
        <is>
          <t>land_appreciation_year</t>
        </is>
      </c>
      <c r="B30" t="n">
        <v>0.06</v>
      </c>
      <c r="C30" t="n">
        <v>0.03</v>
      </c>
      <c r="D30" t="n">
        <v>0.09</v>
      </c>
      <c r="E30" t="inlineStr">
        <is>
          <t>per year</t>
        </is>
      </c>
      <c r="F30" t="inlineStr">
        <is>
          <t>illustrative</t>
        </is>
      </c>
    </row>
    <row r="31">
      <c r="A31" t="inlineStr">
        <is>
          <t>whole_down_rate</t>
        </is>
      </c>
      <c r="B31" t="n">
        <v>0.4</v>
      </c>
      <c r="C31" t="n">
        <v>0.3</v>
      </c>
      <c r="D31" t="n">
        <v>0.5</v>
      </c>
      <c r="E31" t="inlineStr">
        <is>
          <t>share of price at signing</t>
        </is>
      </c>
      <c r="F31" t="inlineStr">
        <is>
          <t>illustrative</t>
        </is>
      </c>
    </row>
    <row r="32">
      <c r="A32" t="inlineStr">
        <is>
          <t>whole_installments</t>
        </is>
      </c>
      <c r="B32" t="n">
        <v>12</v>
      </c>
      <c r="C32" t="n">
        <v>6</v>
      </c>
      <c r="D32" t="n">
        <v>24</v>
      </c>
      <c r="E32" t="inlineStr">
        <is>
          <t>months</t>
        </is>
      </c>
      <c r="F32" t="inlineStr">
        <is>
          <t>illustrative</t>
        </is>
      </c>
    </row>
    <row r="33">
      <c r="A33" t="inlineStr">
        <is>
          <t>discount_rate_year</t>
        </is>
      </c>
      <c r="B33" t="n">
        <v>0.14</v>
      </c>
      <c r="C33" t="n">
        <v>0.11</v>
      </c>
      <c r="D33" t="n">
        <v>0.18</v>
      </c>
      <c r="E33" t="inlineStr">
        <is>
          <t>per year</t>
        </is>
      </c>
      <c r="F33" t="inlineStr">
        <is>
          <t>hurdle rate; compare with the Selic of the day (illustrative)</t>
        </is>
      </c>
    </row>
    <row r="34">
      <c r="A34" t="inlineStr">
        <is>
          <t>subdivision_min_m2</t>
        </is>
      </c>
      <c r="B34" t="n">
        <v>20000</v>
      </c>
      <c r="C34" t="n">
        <v>20000</v>
      </c>
      <c r="D34" t="n">
        <v>20000</v>
      </c>
      <c r="E34" t="inlineStr">
        <is>
          <t>m2</t>
        </is>
      </c>
      <c r="F34" t="inlineStr">
        <is>
          <t>parcels at least this big and urban or urban-expansion are subdivided; smaller ones are sold whole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31" customWidth="1" min="4" max="4"/>
    <col width="10" customWidth="1" min="5" max="5"/>
    <col width="14" customWidth="1" min="6" max="6"/>
    <col width="10" customWidth="1" min="7" max="7"/>
    <col width="14" customWidth="1" min="8" max="8"/>
    <col width="10" customWidth="1" min="9" max="9"/>
    <col width="13" customWidth="1" min="10" max="10"/>
    <col width="12" customWidth="1" min="11" max="11"/>
    <col width="10" customWidth="1" min="12" max="12"/>
    <col width="12" customWidth="1" min="13" max="13"/>
    <col width="10" customWidth="1" min="14" max="14"/>
    <col width="15" customWidth="1" min="15" max="15"/>
    <col width="19" customWidth="1" min="16" max="16"/>
    <col width="15" customWidth="1" min="17" max="17"/>
  </cols>
  <sheetData>
    <row r="1">
      <c r="A1" s="2" t="inlineStr">
        <is>
          <t>Id</t>
        </is>
      </c>
      <c r="B1" s="2" t="inlineStr">
        <is>
          <t>Parcel</t>
        </is>
      </c>
      <c r="C1" s="2" t="inlineStr">
        <is>
          <t>Kind</t>
        </is>
      </c>
      <c r="D1" s="2" t="inlineStr">
        <is>
          <t>Town</t>
        </is>
      </c>
      <c r="E1" s="2" t="inlineStr">
        <is>
          <t>Area m2</t>
        </is>
      </c>
      <c r="F1" s="2" t="inlineStr">
        <is>
          <t>Acquisition</t>
        </is>
      </c>
      <c r="G1" s="2" t="inlineStr">
        <is>
          <t>Bought</t>
        </is>
      </c>
      <c r="H1" s="2" t="inlineStr">
        <is>
          <t>Strategy</t>
        </is>
      </c>
      <c r="I1" s="2" t="inlineStr">
        <is>
          <t>Lots</t>
        </is>
      </c>
      <c r="J1" s="2" t="inlineStr">
        <is>
          <t>VGV</t>
        </is>
      </c>
      <c r="K1" s="2" t="inlineStr">
        <is>
          <t>Profit</t>
        </is>
      </c>
      <c r="L1" s="2" t="inlineStr">
        <is>
          <t>Margin</t>
        </is>
      </c>
      <c r="M1" s="2" t="inlineStr">
        <is>
          <t>NPV</t>
        </is>
      </c>
      <c r="N1" s="2" t="inlineStr">
        <is>
          <t>IRR</t>
        </is>
      </c>
      <c r="O1" s="2" t="inlineStr">
        <is>
          <t>Max exposure</t>
        </is>
      </c>
      <c r="P1" s="2" t="inlineStr">
        <is>
          <t>Payback (months)</t>
        </is>
      </c>
      <c r="Q1" s="2" t="inlineStr">
        <is>
          <t>ROI per year</t>
        </is>
      </c>
    </row>
    <row r="2">
      <c r="A2" t="inlineStr">
        <is>
          <t>T01</t>
        </is>
      </c>
      <c r="B2" t="inlineStr">
        <is>
          <t>Sítio Pinheirinho</t>
        </is>
      </c>
      <c r="C2" t="inlineStr">
        <is>
          <t>rural</t>
        </is>
      </c>
      <c r="D2" t="inlineStr">
        <is>
          <t>Município B (interior de SP)</t>
        </is>
      </c>
      <c r="E2" s="3" t="n">
        <v>54000</v>
      </c>
      <c r="F2" s="4" t="n">
        <v>693000</v>
      </c>
      <c r="G2" t="inlineStr">
        <is>
          <t>2026-01</t>
        </is>
      </c>
      <c r="H2" t="inlineStr">
        <is>
          <t>whole</t>
        </is>
      </c>
      <c r="I2" s="3" t="n">
        <v>1</v>
      </c>
      <c r="J2" s="4" t="n">
        <v>1124426.126567343</v>
      </c>
      <c r="K2" s="4" t="n">
        <v>166846.2799066377</v>
      </c>
      <c r="L2" s="5" t="n">
        <v>0.1483834962248586</v>
      </c>
      <c r="M2" s="4" t="n">
        <v>-133514.9161247608</v>
      </c>
      <c r="N2" s="5" t="n">
        <v>0.06870811833109891</v>
      </c>
      <c r="O2" s="4" t="n">
        <v>861482.5</v>
      </c>
      <c r="P2" s="3" t="n">
        <v>39</v>
      </c>
      <c r="Q2" s="5" t="n">
        <v>0.05064603825054448</v>
      </c>
    </row>
    <row r="3">
      <c r="A3" t="inlineStr">
        <is>
          <t>T02</t>
        </is>
      </c>
      <c r="B3" t="inlineStr">
        <is>
          <t>Área Jardim Novo</t>
        </is>
      </c>
      <c r="C3" t="inlineStr">
        <is>
          <t>urban</t>
        </is>
      </c>
      <c r="D3" t="inlineStr">
        <is>
          <t>Município A (interior de SP)</t>
        </is>
      </c>
      <c r="E3" s="3" t="n">
        <v>33800</v>
      </c>
      <c r="F3" s="4" t="n">
        <v>2648000</v>
      </c>
      <c r="G3" t="inlineStr">
        <is>
          <t>2026-03</t>
        </is>
      </c>
      <c r="H3" t="inlineStr">
        <is>
          <t>subdivision</t>
        </is>
      </c>
      <c r="I3" s="3" t="n">
        <v>67</v>
      </c>
      <c r="J3" s="4" t="n">
        <v>8582700</v>
      </c>
      <c r="K3" s="4" t="n">
        <v>3654876.242315406</v>
      </c>
      <c r="L3" s="5" t="n">
        <v>0.4258422457170128</v>
      </c>
      <c r="M3" s="4" t="n">
        <v>364933.5785427943</v>
      </c>
      <c r="N3" s="5" t="n">
        <v>0.1656297338041</v>
      </c>
      <c r="O3" s="4" t="n">
        <v>4316842.94942378</v>
      </c>
      <c r="P3" s="3" t="n">
        <v>56</v>
      </c>
      <c r="Q3" s="5" t="n">
        <v>0.07052894904702467</v>
      </c>
    </row>
    <row r="4">
      <c r="A4" t="inlineStr">
        <is>
          <t>T03</t>
        </is>
      </c>
      <c r="B4" t="inlineStr">
        <is>
          <t>Chácara Água Limpa</t>
        </is>
      </c>
      <c r="C4" t="inlineStr">
        <is>
          <t>rural</t>
        </is>
      </c>
      <c r="D4" t="inlineStr">
        <is>
          <t>Município A (interior de SP)</t>
        </is>
      </c>
      <c r="E4" s="3" t="n">
        <v>75500</v>
      </c>
      <c r="F4" s="4" t="n">
        <v>755000</v>
      </c>
      <c r="G4" t="inlineStr">
        <is>
          <t>2026-04</t>
        </is>
      </c>
      <c r="H4" t="inlineStr">
        <is>
          <t>whole</t>
        </is>
      </c>
      <c r="I4" s="3" t="n">
        <v>1</v>
      </c>
      <c r="J4" s="4" t="n">
        <v>1222755.571791854</v>
      </c>
      <c r="K4" s="4" t="n">
        <v>139917.150577486</v>
      </c>
      <c r="L4" s="5" t="n">
        <v>0.1144277350316615</v>
      </c>
      <c r="M4" s="4" t="n">
        <v>-180966.224636997</v>
      </c>
      <c r="N4" s="5" t="n">
        <v>0.0522886879577602</v>
      </c>
      <c r="O4" s="4" t="n">
        <v>978337.5</v>
      </c>
      <c r="P4" s="3" t="n">
        <v>40</v>
      </c>
      <c r="Q4" s="5" t="n">
        <v>0.03800766768412367</v>
      </c>
    </row>
    <row r="5">
      <c r="A5" t="inlineStr">
        <is>
          <t>T04</t>
        </is>
      </c>
      <c r="B5" t="inlineStr">
        <is>
          <t>Gleba Boa Vista</t>
        </is>
      </c>
      <c r="C5" t="inlineStr">
        <is>
          <t>expansion</t>
        </is>
      </c>
      <c r="D5" t="inlineStr">
        <is>
          <t>Município B (interior de SP)</t>
        </is>
      </c>
      <c r="E5" s="3" t="n">
        <v>68000</v>
      </c>
      <c r="F5" s="4" t="n">
        <v>2956000</v>
      </c>
      <c r="G5" t="inlineStr">
        <is>
          <t>2026-07</t>
        </is>
      </c>
      <c r="H5" t="inlineStr">
        <is>
          <t>subdivision</t>
        </is>
      </c>
      <c r="I5" s="3" t="n">
        <v>136</v>
      </c>
      <c r="J5" s="4" t="n">
        <v>12566400</v>
      </c>
      <c r="K5" s="4" t="n">
        <v>4925592.535912078</v>
      </c>
      <c r="L5" s="5" t="n">
        <v>0.3919652832881396</v>
      </c>
      <c r="M5" s="4" t="n">
        <v>344648.9924132955</v>
      </c>
      <c r="N5" s="5" t="n">
        <v>0.1573131825343408</v>
      </c>
      <c r="O5" s="4" t="n">
        <v>6740768.003040848</v>
      </c>
      <c r="P5" s="3" t="n">
        <v>59</v>
      </c>
      <c r="Q5" s="5" t="n">
        <v>0.06284407798804281</v>
      </c>
    </row>
    <row r="6">
      <c r="A6" t="inlineStr">
        <is>
          <t>T05</t>
        </is>
      </c>
      <c r="B6" t="inlineStr">
        <is>
          <t>Gleba Santa Rita</t>
        </is>
      </c>
      <c r="C6" t="inlineStr">
        <is>
          <t>expansion</t>
        </is>
      </c>
      <c r="D6" t="inlineStr">
        <is>
          <t>Município A (interior de SP)</t>
        </is>
      </c>
      <c r="E6" s="3" t="n">
        <v>73600</v>
      </c>
      <c r="F6" s="4" t="n">
        <v>3016000</v>
      </c>
      <c r="G6" t="inlineStr">
        <is>
          <t>2026-10</t>
        </is>
      </c>
      <c r="H6" t="inlineStr">
        <is>
          <t>subdivision</t>
        </is>
      </c>
      <c r="I6" s="3" t="n">
        <v>147</v>
      </c>
      <c r="J6" s="4" t="n">
        <v>13406400</v>
      </c>
      <c r="K6" s="4" t="n">
        <v>5335323.8274966</v>
      </c>
      <c r="L6" s="5" t="n">
        <v>0.3979684201199875</v>
      </c>
      <c r="M6" s="4" t="n">
        <v>459331.1899937682</v>
      </c>
      <c r="N6" s="5" t="n">
        <v>0.1619766365685784</v>
      </c>
      <c r="O6" s="4" t="n">
        <v>7111105.928112421</v>
      </c>
      <c r="P6" s="3" t="n">
        <v>58</v>
      </c>
      <c r="Q6" s="5" t="n">
        <v>0.06417232517459914</v>
      </c>
    </row>
    <row r="7">
      <c r="A7" t="inlineStr">
        <is>
          <t>T06</t>
        </is>
      </c>
      <c r="B7" t="inlineStr">
        <is>
          <t>Área Avenida Central</t>
        </is>
      </c>
      <c r="C7" t="inlineStr">
        <is>
          <t>urban</t>
        </is>
      </c>
      <c r="D7" t="inlineStr">
        <is>
          <t>Município C (sul de MG)</t>
        </is>
      </c>
      <c r="E7" s="3" t="n">
        <v>10000</v>
      </c>
      <c r="F7" s="4" t="n">
        <v>1113000</v>
      </c>
      <c r="G7" t="inlineStr">
        <is>
          <t>2026-10</t>
        </is>
      </c>
      <c r="H7" t="inlineStr">
        <is>
          <t>whole</t>
        </is>
      </c>
      <c r="I7" s="3" t="n">
        <v>1</v>
      </c>
      <c r="J7" s="4" t="n">
        <v>1723657.333935536</v>
      </c>
      <c r="K7" s="4" t="n">
        <v>361437.6152889818</v>
      </c>
      <c r="L7" s="5" t="n">
        <v>0.2096922678150478</v>
      </c>
      <c r="M7" s="4" t="n">
        <v>-121070.1209541273</v>
      </c>
      <c r="N7" s="5" t="n">
        <v>0.09766399142559301</v>
      </c>
      <c r="O7" s="4" t="n">
        <v>1214910</v>
      </c>
      <c r="P7" s="3" t="n">
        <v>38</v>
      </c>
      <c r="Q7" s="5" t="n">
        <v>0.07538751919697884</v>
      </c>
    </row>
    <row r="8">
      <c r="A8" t="inlineStr">
        <is>
          <t>T07</t>
        </is>
      </c>
      <c r="B8" t="inlineStr">
        <is>
          <t>Terreno Esquina Comercial</t>
        </is>
      </c>
      <c r="C8" t="inlineStr">
        <is>
          <t>urban</t>
        </is>
      </c>
      <c r="D8" t="inlineStr">
        <is>
          <t>Município A (interior de SP)</t>
        </is>
      </c>
      <c r="E8" s="3" t="n">
        <v>4000</v>
      </c>
      <c r="F8" s="4" t="n">
        <v>1074000</v>
      </c>
      <c r="G8" t="inlineStr">
        <is>
          <t>2026-11</t>
        </is>
      </c>
      <c r="H8" t="inlineStr">
        <is>
          <t>whole</t>
        </is>
      </c>
      <c r="I8" s="3" t="n">
        <v>1</v>
      </c>
      <c r="J8" s="4" t="n">
        <v>1476098.495370298</v>
      </c>
      <c r="K8" s="4" t="n">
        <v>191166.0114823764</v>
      </c>
      <c r="L8" s="5" t="n">
        <v>0.1295076257322652</v>
      </c>
      <c r="M8" s="4" t="n">
        <v>-223173.1023626237</v>
      </c>
      <c r="N8" s="5" t="n">
        <v>0.05586977454994968</v>
      </c>
      <c r="O8" s="4" t="n">
        <v>1158780</v>
      </c>
      <c r="P8" s="3" t="n">
        <v>40</v>
      </c>
      <c r="Q8" s="5" t="n">
        <v>0.04353405329736182</v>
      </c>
    </row>
    <row r="9">
      <c r="A9" t="inlineStr">
        <is>
          <t>T08</t>
        </is>
      </c>
      <c r="B9" t="inlineStr">
        <is>
          <t>Área Vila Operária</t>
        </is>
      </c>
      <c r="C9" t="inlineStr">
        <is>
          <t>urban</t>
        </is>
      </c>
      <c r="D9" t="inlineStr">
        <is>
          <t>Município A (interior de SP)</t>
        </is>
      </c>
      <c r="E9" s="3" t="n">
        <v>7700</v>
      </c>
      <c r="F9" s="4" t="n">
        <v>705000</v>
      </c>
      <c r="G9" t="inlineStr">
        <is>
          <t>2026-11</t>
        </is>
      </c>
      <c r="H9" t="inlineStr">
        <is>
          <t>whole</t>
        </is>
      </c>
      <c r="I9" s="3" t="n">
        <v>1</v>
      </c>
      <c r="J9" s="4" t="n">
        <v>953101.5284761668</v>
      </c>
      <c r="K9" s="4" t="n">
        <v>98816.17465543092</v>
      </c>
      <c r="L9" s="5" t="n">
        <v>0.1036785396970454</v>
      </c>
      <c r="M9" s="4" t="n">
        <v>-166925.7368961711</v>
      </c>
      <c r="N9" s="5" t="n">
        <v>0.04405035740150698</v>
      </c>
      <c r="O9" s="4" t="n">
        <v>772830</v>
      </c>
      <c r="P9" s="3" t="n">
        <v>40</v>
      </c>
      <c r="Q9" s="5" t="n">
        <v>0.03414905935913759</v>
      </c>
    </row>
    <row r="10">
      <c r="A10" t="inlineStr">
        <is>
          <t>T09</t>
        </is>
      </c>
      <c r="B10" t="inlineStr">
        <is>
          <t>Gleba Ribeirão Claro</t>
        </is>
      </c>
      <c r="C10" t="inlineStr">
        <is>
          <t>expansion</t>
        </is>
      </c>
      <c r="D10" t="inlineStr">
        <is>
          <t>Município C (sul de MG)</t>
        </is>
      </c>
      <c r="E10" s="3" t="n">
        <v>76200</v>
      </c>
      <c r="F10" s="4" t="n">
        <v>3563000</v>
      </c>
      <c r="G10" t="inlineStr">
        <is>
          <t>2027-01</t>
        </is>
      </c>
      <c r="H10" t="inlineStr">
        <is>
          <t>subdivision</t>
        </is>
      </c>
      <c r="I10" s="3" t="n">
        <v>152</v>
      </c>
      <c r="J10" s="4" t="n">
        <v>17601600</v>
      </c>
      <c r="K10" s="4" t="n">
        <v>9044293.040752845</v>
      </c>
      <c r="L10" s="5" t="n">
        <v>0.5138335742632968</v>
      </c>
      <c r="M10" s="4" t="n">
        <v>2373376.182410962</v>
      </c>
      <c r="N10" s="5" t="n">
        <v>0.2391126968388784</v>
      </c>
      <c r="O10" s="4" t="n">
        <v>7312004.053724002</v>
      </c>
      <c r="P10" s="3" t="n">
        <v>48</v>
      </c>
      <c r="Q10" s="5" t="n">
        <v>0.09357819142683343</v>
      </c>
    </row>
    <row r="11">
      <c r="A11" t="inlineStr">
        <is>
          <t>T10</t>
        </is>
      </c>
      <c r="B11" t="inlineStr">
        <is>
          <t>Terreno Rua das Acácias</t>
        </is>
      </c>
      <c r="C11" t="inlineStr">
        <is>
          <t>urban</t>
        </is>
      </c>
      <c r="D11" t="inlineStr">
        <is>
          <t>Município B (interior de SP)</t>
        </is>
      </c>
      <c r="E11" s="3" t="n">
        <v>2600</v>
      </c>
      <c r="F11" s="4" t="n">
        <v>590000</v>
      </c>
      <c r="G11" t="inlineStr">
        <is>
          <t>2027-02</t>
        </is>
      </c>
      <c r="H11" t="inlineStr">
        <is>
          <t>whole</t>
        </is>
      </c>
      <c r="I11" s="3" t="n">
        <v>1</v>
      </c>
      <c r="J11" s="4" t="n">
        <v>821108.7084747945</v>
      </c>
      <c r="K11" s="4" t="n">
        <v>113393.9176725645</v>
      </c>
      <c r="L11" s="5" t="n">
        <v>0.1380985446898903</v>
      </c>
      <c r="M11" s="4" t="n">
        <v>-116988.5117061032</v>
      </c>
      <c r="N11" s="5" t="n">
        <v>0.06005450738420715</v>
      </c>
      <c r="O11" s="4" t="n">
        <v>637539.9999999988</v>
      </c>
      <c r="P11" s="3" t="n">
        <v>40</v>
      </c>
      <c r="Q11" s="5" t="n">
        <v>0.0467434811769869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20" customWidth="1" min="4" max="4"/>
    <col width="19" customWidth="1" min="5" max="5"/>
    <col width="17" customWidth="1" min="6" max="6"/>
    <col width="22" customWidth="1" min="7" max="7"/>
    <col width="12" customWidth="1" min="8" max="8"/>
    <col width="14" customWidth="1" min="9" max="9"/>
    <col width="15" customWidth="1" min="10" max="10"/>
    <col width="13" customWidth="1" min="11" max="11"/>
    <col width="13" customWidth="1" min="12" max="12"/>
    <col width="13" customWidth="1" min="13" max="13"/>
    <col width="16" customWidth="1" min="14" max="14"/>
    <col width="15" customWidth="1" min="15" max="15"/>
    <col width="13" customWidth="1" min="16" max="16"/>
  </cols>
  <sheetData>
    <row r="1">
      <c r="A1" s="2" t="inlineStr">
        <is>
          <t>Id</t>
        </is>
      </c>
      <c r="B1" s="2" t="inlineStr">
        <is>
          <t>Parcel</t>
        </is>
      </c>
      <c r="C1" s="2" t="inlineStr">
        <is>
          <t>acquisition</t>
        </is>
      </c>
      <c r="D1" s="2" t="inlineStr">
        <is>
          <t>acquisition taxes</t>
        </is>
      </c>
      <c r="E1" s="2" t="inlineStr">
        <is>
          <t>studies approval</t>
        </is>
      </c>
      <c r="F1" s="2" t="inlineStr">
        <is>
          <t>infrastructure</t>
        </is>
      </c>
      <c r="G1" s="2" t="inlineStr">
        <is>
          <t>small constructions</t>
        </is>
      </c>
      <c r="H1" s="2" t="inlineStr">
        <is>
          <t>marketing</t>
        </is>
      </c>
      <c r="I1" s="2" t="inlineStr">
        <is>
          <t>maintenance</t>
        </is>
      </c>
      <c r="J1" s="2" t="inlineStr">
        <is>
          <t>property tax</t>
        </is>
      </c>
      <c r="K1" s="2" t="inlineStr">
        <is>
          <t>broker</t>
        </is>
      </c>
      <c r="L1" s="2" t="inlineStr">
        <is>
          <t>sales tax</t>
        </is>
      </c>
      <c r="M1" s="2" t="inlineStr">
        <is>
          <t>cash sales</t>
        </is>
      </c>
      <c r="N1" s="2" t="inlineStr">
        <is>
          <t>down payments</t>
        </is>
      </c>
      <c r="O1" s="2" t="inlineStr">
        <is>
          <t>installments</t>
        </is>
      </c>
      <c r="P1" s="2" t="inlineStr">
        <is>
          <t>Net profit</t>
        </is>
      </c>
    </row>
    <row r="2">
      <c r="A2" t="inlineStr">
        <is>
          <t>T01</t>
        </is>
      </c>
      <c r="B2" t="inlineStr">
        <is>
          <t>Sítio Pinheirinho</t>
        </is>
      </c>
      <c r="C2" s="4" t="n">
        <v>-693000</v>
      </c>
      <c r="D2" s="4" t="n">
        <v>-33685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-129600</v>
      </c>
      <c r="J2" s="4" t="n">
        <v>-5197.5</v>
      </c>
      <c r="K2" s="4" t="n">
        <v>-56221.30632836717</v>
      </c>
      <c r="L2" s="4" t="n">
        <v>-68368.04519372361</v>
      </c>
      <c r="M2" s="4" t="n">
        <v>0</v>
      </c>
      <c r="N2" s="4" t="n">
        <v>449770.4506269373</v>
      </c>
      <c r="O2" s="4" t="n">
        <v>703147.6808017911</v>
      </c>
      <c r="P2" s="4" t="n">
        <v>166846.2799066377</v>
      </c>
    </row>
    <row r="3">
      <c r="A3" t="inlineStr">
        <is>
          <t>T02</t>
        </is>
      </c>
      <c r="B3" t="inlineStr">
        <is>
          <t>Área Jardim Novo</t>
        </is>
      </c>
      <c r="C3" s="4" t="n">
        <v>-2648000</v>
      </c>
      <c r="D3" s="4" t="n">
        <v>-119160</v>
      </c>
      <c r="E3" s="4" t="n">
        <v>-101400</v>
      </c>
      <c r="F3" s="4" t="n">
        <v>-2387880</v>
      </c>
      <c r="G3" s="4" t="n">
        <v>-124123.4631460406</v>
      </c>
      <c r="H3" s="4" t="n">
        <v>-128740.5</v>
      </c>
      <c r="I3" s="4" t="n">
        <v>-79767.99999999999</v>
      </c>
      <c r="J3" s="4" t="n">
        <v>-65096.66666666666</v>
      </c>
      <c r="K3" s="4" t="n">
        <v>-429135.0000000001</v>
      </c>
      <c r="L3" s="4" t="n">
        <v>-613876.9707847316</v>
      </c>
      <c r="M3" s="4" t="n">
        <v>2574810</v>
      </c>
      <c r="N3" s="4" t="n">
        <v>1201578</v>
      </c>
      <c r="O3" s="4" t="n">
        <v>6575668.842912843</v>
      </c>
      <c r="P3" s="4" t="n">
        <v>3654876.242315406</v>
      </c>
    </row>
    <row r="4">
      <c r="A4" t="inlineStr">
        <is>
          <t>T03</t>
        </is>
      </c>
      <c r="B4" t="inlineStr">
        <is>
          <t>Chácara Água Limpa</t>
        </is>
      </c>
      <c r="C4" s="4" t="n">
        <v>-755000</v>
      </c>
      <c r="D4" s="4" t="n">
        <v>-36475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-181200</v>
      </c>
      <c r="J4" s="4" t="n">
        <v>-5662.5</v>
      </c>
      <c r="K4" s="4" t="n">
        <v>-61137.77858959269</v>
      </c>
      <c r="L4" s="4" t="n">
        <v>-74346.73227342166</v>
      </c>
      <c r="M4" s="4" t="n">
        <v>0</v>
      </c>
      <c r="N4" s="4" t="n">
        <v>489102.2287167415</v>
      </c>
      <c r="O4" s="4" t="n">
        <v>764636.9327237587</v>
      </c>
      <c r="P4" s="4" t="n">
        <v>139917.150577486</v>
      </c>
    </row>
    <row r="5">
      <c r="A5" t="inlineStr">
        <is>
          <t>T04</t>
        </is>
      </c>
      <c r="B5" t="inlineStr">
        <is>
          <t>Gleba Boa Vista</t>
        </is>
      </c>
      <c r="C5" s="4" t="n">
        <v>-2956000</v>
      </c>
      <c r="D5" s="4" t="n">
        <v>-133020</v>
      </c>
      <c r="E5" s="4" t="n">
        <v>-204000</v>
      </c>
      <c r="F5" s="4" t="n">
        <v>-4847040</v>
      </c>
      <c r="G5" s="4" t="n">
        <v>-142584.3430899454</v>
      </c>
      <c r="H5" s="4" t="n">
        <v>-188496</v>
      </c>
      <c r="I5" s="4" t="n">
        <v>-160480</v>
      </c>
      <c r="J5" s="4" t="n">
        <v>-72668.33333333333</v>
      </c>
      <c r="K5" s="4" t="n">
        <v>-628320.0000000001</v>
      </c>
      <c r="L5" s="4" t="n">
        <v>-898810.813108841</v>
      </c>
      <c r="M5" s="4" t="n">
        <v>3769920</v>
      </c>
      <c r="N5" s="4" t="n">
        <v>1759296</v>
      </c>
      <c r="O5" s="4" t="n">
        <v>9627796.025444198</v>
      </c>
      <c r="P5" s="4" t="n">
        <v>4925592.535912078</v>
      </c>
    </row>
    <row r="6">
      <c r="A6" t="inlineStr">
        <is>
          <t>T05</t>
        </is>
      </c>
      <c r="B6" t="inlineStr">
        <is>
          <t>Gleba Santa Rita</t>
        </is>
      </c>
      <c r="C6" s="4" t="n">
        <v>-3016000</v>
      </c>
      <c r="D6" s="4" t="n">
        <v>-135720</v>
      </c>
      <c r="E6" s="4" t="n">
        <v>-220800</v>
      </c>
      <c r="F6" s="4" t="n">
        <v>-5239080</v>
      </c>
      <c r="G6" s="4" t="n">
        <v>-145110.3678380026</v>
      </c>
      <c r="H6" s="4" t="n">
        <v>-201096</v>
      </c>
      <c r="I6" s="4" t="n">
        <v>-173696</v>
      </c>
      <c r="J6" s="4" t="n">
        <v>-74143.33333333333</v>
      </c>
      <c r="K6" s="4" t="n">
        <v>-670320</v>
      </c>
      <c r="L6" s="4" t="n">
        <v>-958891.7498139776</v>
      </c>
      <c r="M6" s="4" t="n">
        <v>4021920</v>
      </c>
      <c r="N6" s="4" t="n">
        <v>1876896</v>
      </c>
      <c r="O6" s="4" t="n">
        <v>10271365.27848192</v>
      </c>
      <c r="P6" s="4" t="n">
        <v>5335323.8274966</v>
      </c>
    </row>
    <row r="7">
      <c r="A7" t="inlineStr">
        <is>
          <t>T06</t>
        </is>
      </c>
      <c r="B7" t="inlineStr">
        <is>
          <t>Área Avenida Central</t>
        </is>
      </c>
      <c r="C7" s="4" t="n">
        <v>-1113000</v>
      </c>
      <c r="D7" s="4" t="n">
        <v>-50085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-24000</v>
      </c>
      <c r="J7" s="4" t="n">
        <v>-27825</v>
      </c>
      <c r="K7" s="4" t="n">
        <v>-86182.86669677682</v>
      </c>
      <c r="L7" s="4" t="n">
        <v>-104802.8676323541</v>
      </c>
      <c r="M7" s="4" t="n">
        <v>0</v>
      </c>
      <c r="N7" s="4" t="n">
        <v>689462.9335742146</v>
      </c>
      <c r="O7" s="4" t="n">
        <v>1077870.416043898</v>
      </c>
      <c r="P7" s="4" t="n">
        <v>361437.6152889818</v>
      </c>
    </row>
    <row r="8">
      <c r="A8" t="inlineStr">
        <is>
          <t>T07</t>
        </is>
      </c>
      <c r="B8" t="inlineStr">
        <is>
          <t>Terreno Esquina Comercial</t>
        </is>
      </c>
      <c r="C8" s="4" t="n">
        <v>-1074000</v>
      </c>
      <c r="D8" s="4" t="n">
        <v>-48330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-9600</v>
      </c>
      <c r="J8" s="4" t="n">
        <v>-26850</v>
      </c>
      <c r="K8" s="4" t="n">
        <v>-73804.92476851492</v>
      </c>
      <c r="L8" s="4" t="n">
        <v>-89750.64369052605</v>
      </c>
      <c r="M8" s="4" t="n">
        <v>0</v>
      </c>
      <c r="N8" s="4" t="n">
        <v>590439.3981481193</v>
      </c>
      <c r="O8" s="4" t="n">
        <v>923062.1817932981</v>
      </c>
      <c r="P8" s="4" t="n">
        <v>191166.0114823764</v>
      </c>
    </row>
    <row r="9">
      <c r="A9" t="inlineStr">
        <is>
          <t>T08</t>
        </is>
      </c>
      <c r="B9" t="inlineStr">
        <is>
          <t>Área Vila Operária</t>
        </is>
      </c>
      <c r="C9" s="4" t="n">
        <v>-705000</v>
      </c>
      <c r="D9" s="4" t="n">
        <v>-31725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-18480</v>
      </c>
      <c r="J9" s="4" t="n">
        <v>-17625</v>
      </c>
      <c r="K9" s="4" t="n">
        <v>-47655.07642380834</v>
      </c>
      <c r="L9" s="4" t="n">
        <v>-57951.06217603794</v>
      </c>
      <c r="M9" s="4" t="n">
        <v>0</v>
      </c>
      <c r="N9" s="4" t="n">
        <v>381240.6113904667</v>
      </c>
      <c r="O9" s="4" t="n">
        <v>596011.7018648104</v>
      </c>
      <c r="P9" s="4" t="n">
        <v>98816.17465543092</v>
      </c>
    </row>
    <row r="10">
      <c r="A10" t="inlineStr">
        <is>
          <t>T09</t>
        </is>
      </c>
      <c r="B10" t="inlineStr">
        <is>
          <t>Gleba Ribeirão Claro</t>
        </is>
      </c>
      <c r="C10" s="4" t="n">
        <v>-3563000</v>
      </c>
      <c r="D10" s="4" t="n">
        <v>-160335</v>
      </c>
      <c r="E10" s="4" t="n">
        <v>-228600</v>
      </c>
      <c r="F10" s="4" t="n">
        <v>-5417280</v>
      </c>
      <c r="G10" s="4" t="n">
        <v>-146250.4339608428</v>
      </c>
      <c r="H10" s="4" t="n">
        <v>-264024</v>
      </c>
      <c r="I10" s="4" t="n">
        <v>-179832</v>
      </c>
      <c r="J10" s="4" t="n">
        <v>-87590.41666666666</v>
      </c>
      <c r="K10" s="4" t="n">
        <v>-880080</v>
      </c>
      <c r="L10" s="4" t="n">
        <v>-1258953.113701344</v>
      </c>
      <c r="M10" s="4" t="n">
        <v>5280480</v>
      </c>
      <c r="N10" s="4" t="n">
        <v>2464224</v>
      </c>
      <c r="O10" s="4" t="n">
        <v>13485534.00508169</v>
      </c>
      <c r="P10" s="4" t="n">
        <v>9044293.040752845</v>
      </c>
    </row>
    <row r="11">
      <c r="A11" t="inlineStr">
        <is>
          <t>T10</t>
        </is>
      </c>
      <c r="B11" t="inlineStr">
        <is>
          <t>Terreno Rua das Acácias</t>
        </is>
      </c>
      <c r="C11" s="4" t="n">
        <v>-590000</v>
      </c>
      <c r="D11" s="4" t="n">
        <v>-26550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-6240</v>
      </c>
      <c r="J11" s="4" t="n">
        <v>-14750</v>
      </c>
      <c r="K11" s="4" t="n">
        <v>-41055.43542373973</v>
      </c>
      <c r="L11" s="4" t="n">
        <v>-49925.55399023149</v>
      </c>
      <c r="M11" s="4" t="n">
        <v>0</v>
      </c>
      <c r="N11" s="4" t="n">
        <v>328443.4833899178</v>
      </c>
      <c r="O11" s="4" t="n">
        <v>513471.4236966168</v>
      </c>
      <c r="P11" s="4" t="n">
        <v>113393.9176725645</v>
      </c>
    </row>
    <row r="12">
      <c r="A12" t="inlineStr">
        <is>
          <t>Total</t>
        </is>
      </c>
      <c r="B12" t="inlineStr"/>
      <c r="C12" s="4" t="n">
        <v>-17113000</v>
      </c>
      <c r="D12" s="4" t="n">
        <v>-775085</v>
      </c>
      <c r="E12" s="4" t="n">
        <v>-754800</v>
      </c>
      <c r="F12" s="4" t="n">
        <v>-17891280</v>
      </c>
      <c r="G12" s="4" t="n">
        <v>-558068.6080348315</v>
      </c>
      <c r="H12" s="4" t="n">
        <v>-782356.5</v>
      </c>
      <c r="I12" s="4" t="n">
        <v>-962895.9999999999</v>
      </c>
      <c r="J12" s="4" t="n">
        <v>-397408.75</v>
      </c>
      <c r="K12" s="4" t="n">
        <v>-2973912.3882308</v>
      </c>
      <c r="L12" s="4" t="n">
        <v>-4175677.552365189</v>
      </c>
      <c r="M12" s="4" t="n">
        <v>15647130</v>
      </c>
      <c r="N12" s="4" t="n">
        <v>10230453.1058464</v>
      </c>
      <c r="O12" s="4" t="n">
        <v>44538564.48884482</v>
      </c>
      <c r="P12" s="4" t="n">
        <v>24031662.79606039</v>
      </c>
    </row>
    <row r="14">
      <c r="A14" t="inlineStr">
        <is>
          <t>Outflows are negative. Installments are net of the default assumption.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19" customWidth="1" min="4" max="4"/>
    <col width="17" customWidth="1" min="5" max="5"/>
    <col width="22" customWidth="1" min="6" max="6"/>
    <col width="12" customWidth="1" min="7" max="7"/>
    <col width="14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5" customWidth="1" min="14" max="14"/>
    <col width="13" customWidth="1" min="15" max="15"/>
    <col width="14" customWidth="1" min="16" max="16"/>
  </cols>
  <sheetData>
    <row r="1">
      <c r="A1" s="2" t="inlineStr">
        <is>
          <t>Month</t>
        </is>
      </c>
      <c r="B1" s="2" t="inlineStr">
        <is>
          <t>acquisition</t>
        </is>
      </c>
      <c r="C1" s="2" t="inlineStr">
        <is>
          <t>acquisition taxes</t>
        </is>
      </c>
      <c r="D1" s="2" t="inlineStr">
        <is>
          <t>studies approval</t>
        </is>
      </c>
      <c r="E1" s="2" t="inlineStr">
        <is>
          <t>infrastructure</t>
        </is>
      </c>
      <c r="F1" s="2" t="inlineStr">
        <is>
          <t>small constructions</t>
        </is>
      </c>
      <c r="G1" s="2" t="inlineStr">
        <is>
          <t>marketing</t>
        </is>
      </c>
      <c r="H1" s="2" t="inlineStr">
        <is>
          <t>maintenance</t>
        </is>
      </c>
      <c r="I1" s="2" t="inlineStr">
        <is>
          <t>property tax</t>
        </is>
      </c>
      <c r="J1" s="2" t="inlineStr">
        <is>
          <t>broker</t>
        </is>
      </c>
      <c r="K1" s="2" t="inlineStr">
        <is>
          <t>sales tax</t>
        </is>
      </c>
      <c r="L1" s="2" t="inlineStr">
        <is>
          <t>cash sales</t>
        </is>
      </c>
      <c r="M1" s="2" t="inlineStr">
        <is>
          <t>down payments</t>
        </is>
      </c>
      <c r="N1" s="2" t="inlineStr">
        <is>
          <t>installments</t>
        </is>
      </c>
      <c r="O1" s="2" t="inlineStr">
        <is>
          <t>Net</t>
        </is>
      </c>
      <c r="P1" s="2" t="inlineStr">
        <is>
          <t>Cumulative</t>
        </is>
      </c>
    </row>
    <row r="2">
      <c r="A2" t="inlineStr">
        <is>
          <t>2026-01</t>
        </is>
      </c>
      <c r="B2" s="4" t="n">
        <v>-693000</v>
      </c>
      <c r="C2" s="4" t="n">
        <v>-33685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-4320</v>
      </c>
      <c r="I2" s="4" t="n">
        <v>-173.25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-731178.25</v>
      </c>
      <c r="P2" s="4" t="n">
        <v>-731178.25</v>
      </c>
    </row>
    <row r="3">
      <c r="A3" t="inlineStr">
        <is>
          <t>2026-02</t>
        </is>
      </c>
      <c r="B3" s="4" t="n">
        <v>0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-4320</v>
      </c>
      <c r="I3" s="4" t="n">
        <v>-173.25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-4493.25</v>
      </c>
      <c r="P3" s="4" t="n">
        <v>-735671.5</v>
      </c>
    </row>
    <row r="4">
      <c r="A4" t="inlineStr">
        <is>
          <t>2026-03</t>
        </is>
      </c>
      <c r="B4" s="4" t="n">
        <v>-2648000</v>
      </c>
      <c r="C4" s="4" t="n">
        <v>-119160</v>
      </c>
      <c r="D4" s="4" t="n">
        <v>-8450</v>
      </c>
      <c r="E4" s="4" t="n">
        <v>0</v>
      </c>
      <c r="F4" s="4" t="n">
        <v>0</v>
      </c>
      <c r="G4" s="4" t="n">
        <v>0</v>
      </c>
      <c r="H4" s="4" t="n">
        <v>-7024</v>
      </c>
      <c r="I4" s="4" t="n">
        <v>-2379.916666666667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-2785013.916666667</v>
      </c>
      <c r="P4" s="4" t="n">
        <v>-3520685.416666667</v>
      </c>
    </row>
    <row r="5">
      <c r="A5" t="inlineStr">
        <is>
          <t>2026-04</t>
        </is>
      </c>
      <c r="B5" s="4" t="n">
        <v>-755000</v>
      </c>
      <c r="C5" s="4" t="n">
        <v>-36475</v>
      </c>
      <c r="D5" s="4" t="n">
        <v>-8450</v>
      </c>
      <c r="E5" s="4" t="n">
        <v>0</v>
      </c>
      <c r="F5" s="4" t="n">
        <v>-44123.46314604057</v>
      </c>
      <c r="G5" s="4" t="n">
        <v>0</v>
      </c>
      <c r="H5" s="4" t="n">
        <v>-13064</v>
      </c>
      <c r="I5" s="4" t="n">
        <v>-2568.666666666667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-859681.1298127072</v>
      </c>
      <c r="P5" s="4" t="n">
        <v>-4380366.546479374</v>
      </c>
    </row>
    <row r="6">
      <c r="A6" t="inlineStr">
        <is>
          <t>2026-05</t>
        </is>
      </c>
      <c r="B6" s="4" t="n">
        <v>0</v>
      </c>
      <c r="C6" s="4" t="n">
        <v>0</v>
      </c>
      <c r="D6" s="4" t="n">
        <v>-8450</v>
      </c>
      <c r="E6" s="4" t="n">
        <v>0</v>
      </c>
      <c r="F6" s="4" t="n">
        <v>0</v>
      </c>
      <c r="G6" s="4" t="n">
        <v>0</v>
      </c>
      <c r="H6" s="4" t="n">
        <v>-13064</v>
      </c>
      <c r="I6" s="4" t="n">
        <v>-2568.666666666667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-24082.66666666667</v>
      </c>
      <c r="P6" s="4" t="n">
        <v>-4404449.213146041</v>
      </c>
    </row>
    <row r="7">
      <c r="A7" t="inlineStr">
        <is>
          <t>2026-06</t>
        </is>
      </c>
      <c r="B7" s="4" t="n">
        <v>0</v>
      </c>
      <c r="C7" s="4" t="n">
        <v>0</v>
      </c>
      <c r="D7" s="4" t="n">
        <v>-8450</v>
      </c>
      <c r="E7" s="4" t="n">
        <v>0</v>
      </c>
      <c r="F7" s="4" t="n">
        <v>0</v>
      </c>
      <c r="G7" s="4" t="n">
        <v>0</v>
      </c>
      <c r="H7" s="4" t="n">
        <v>-13064</v>
      </c>
      <c r="I7" s="4" t="n">
        <v>-2568.666666666667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-24082.66666666667</v>
      </c>
      <c r="P7" s="4" t="n">
        <v>-4428531.879812708</v>
      </c>
    </row>
    <row r="8">
      <c r="A8" t="inlineStr">
        <is>
          <t>2026-07</t>
        </is>
      </c>
      <c r="B8" s="4" t="n">
        <v>-2956000</v>
      </c>
      <c r="C8" s="4" t="n">
        <v>-133020</v>
      </c>
      <c r="D8" s="4" t="n">
        <v>-25450</v>
      </c>
      <c r="E8" s="4" t="n">
        <v>0</v>
      </c>
      <c r="F8" s="4" t="n">
        <v>0</v>
      </c>
      <c r="G8" s="4" t="n">
        <v>0</v>
      </c>
      <c r="H8" s="4" t="n">
        <v>-18504</v>
      </c>
      <c r="I8" s="4" t="n">
        <v>-5032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-3138006</v>
      </c>
      <c r="P8" s="4" t="n">
        <v>-7566537.879812708</v>
      </c>
    </row>
    <row r="9">
      <c r="A9" t="inlineStr">
        <is>
          <t>2026-08</t>
        </is>
      </c>
      <c r="B9" s="4" t="n">
        <v>0</v>
      </c>
      <c r="C9" s="4" t="n">
        <v>0</v>
      </c>
      <c r="D9" s="4" t="n">
        <v>-25450</v>
      </c>
      <c r="E9" s="4" t="n">
        <v>0</v>
      </c>
      <c r="F9" s="4" t="n">
        <v>-62584.34308994543</v>
      </c>
      <c r="G9" s="4" t="n">
        <v>0</v>
      </c>
      <c r="H9" s="4" t="n">
        <v>-18504</v>
      </c>
      <c r="I9" s="4" t="n">
        <v>-5032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-111570.3430899454</v>
      </c>
      <c r="P9" s="4" t="n">
        <v>-7678108.222902654</v>
      </c>
    </row>
    <row r="10">
      <c r="A10" t="inlineStr">
        <is>
          <t>2026-09</t>
        </is>
      </c>
      <c r="B10" s="4" t="n">
        <v>0</v>
      </c>
      <c r="C10" s="4" t="n">
        <v>0</v>
      </c>
      <c r="D10" s="4" t="n">
        <v>-25450</v>
      </c>
      <c r="E10" s="4" t="n">
        <v>0</v>
      </c>
      <c r="F10" s="4" t="n">
        <v>0</v>
      </c>
      <c r="G10" s="4" t="n">
        <v>0</v>
      </c>
      <c r="H10" s="4" t="n">
        <v>-18504</v>
      </c>
      <c r="I10" s="4" t="n">
        <v>-5032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-48986</v>
      </c>
      <c r="P10" s="4" t="n">
        <v>-7727094.222902654</v>
      </c>
    </row>
    <row r="11">
      <c r="A11" t="inlineStr">
        <is>
          <t>2026-10</t>
        </is>
      </c>
      <c r="B11" s="4" t="n">
        <v>-4129000</v>
      </c>
      <c r="C11" s="4" t="n">
        <v>-185805</v>
      </c>
      <c r="D11" s="4" t="n">
        <v>-43850</v>
      </c>
      <c r="E11" s="4" t="n">
        <v>0</v>
      </c>
      <c r="F11" s="4" t="n">
        <v>0</v>
      </c>
      <c r="G11" s="4" t="n">
        <v>0</v>
      </c>
      <c r="H11" s="4" t="n">
        <v>-25192</v>
      </c>
      <c r="I11" s="4" t="n">
        <v>-8472.833333333334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-4392319.833333334</v>
      </c>
      <c r="P11" s="4" t="n">
        <v>-12119414.05623599</v>
      </c>
    </row>
    <row r="12">
      <c r="A12" t="inlineStr">
        <is>
          <t>2026-11</t>
        </is>
      </c>
      <c r="B12" s="4" t="n">
        <v>-1779000</v>
      </c>
      <c r="C12" s="4" t="n">
        <v>-80055</v>
      </c>
      <c r="D12" s="4" t="n">
        <v>-43850</v>
      </c>
      <c r="E12" s="4" t="n">
        <v>0</v>
      </c>
      <c r="F12" s="4" t="n">
        <v>-65110.36783800257</v>
      </c>
      <c r="G12" s="4" t="n">
        <v>0</v>
      </c>
      <c r="H12" s="4" t="n">
        <v>-26128</v>
      </c>
      <c r="I12" s="4" t="n">
        <v>-9955.333333333334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-2004098.701171336</v>
      </c>
      <c r="P12" s="4" t="n">
        <v>-14123512.75740732</v>
      </c>
    </row>
    <row r="13">
      <c r="A13" t="inlineStr">
        <is>
          <t>2026-12</t>
        </is>
      </c>
      <c r="B13" s="4" t="n">
        <v>0</v>
      </c>
      <c r="C13" s="4" t="n">
        <v>0</v>
      </c>
      <c r="D13" s="4" t="n">
        <v>-43850</v>
      </c>
      <c r="E13" s="4" t="n">
        <v>0</v>
      </c>
      <c r="F13" s="4" t="n">
        <v>0</v>
      </c>
      <c r="G13" s="4" t="n">
        <v>0</v>
      </c>
      <c r="H13" s="4" t="n">
        <v>-26128</v>
      </c>
      <c r="I13" s="4" t="n">
        <v>-9955.333333333334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-79933.33333333333</v>
      </c>
      <c r="P13" s="4" t="n">
        <v>-14203446.09074066</v>
      </c>
    </row>
    <row r="14">
      <c r="A14" t="inlineStr">
        <is>
          <t>2027-01</t>
        </is>
      </c>
      <c r="B14" s="4" t="n">
        <v>-3563000</v>
      </c>
      <c r="C14" s="4" t="n">
        <v>-160335</v>
      </c>
      <c r="D14" s="4" t="n">
        <v>-62900</v>
      </c>
      <c r="E14" s="4" t="n">
        <v>0</v>
      </c>
      <c r="F14" s="4" t="n">
        <v>0</v>
      </c>
      <c r="G14" s="4" t="n">
        <v>0</v>
      </c>
      <c r="H14" s="4" t="n">
        <v>-32224</v>
      </c>
      <c r="I14" s="4" t="n">
        <v>-12924.5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-3831383.5</v>
      </c>
      <c r="P14" s="4" t="n">
        <v>-18034829.59074066</v>
      </c>
    </row>
    <row r="15">
      <c r="A15" t="inlineStr">
        <is>
          <t>2027-02</t>
        </is>
      </c>
      <c r="B15" s="4" t="n">
        <v>-590000</v>
      </c>
      <c r="C15" s="4" t="n">
        <v>-26550</v>
      </c>
      <c r="D15" s="4" t="n">
        <v>-62900</v>
      </c>
      <c r="E15" s="4" t="n">
        <v>0</v>
      </c>
      <c r="F15" s="4" t="n">
        <v>-66250.43396084286</v>
      </c>
      <c r="G15" s="4" t="n">
        <v>0</v>
      </c>
      <c r="H15" s="4" t="n">
        <v>-32432</v>
      </c>
      <c r="I15" s="4" t="n">
        <v>-13416.16666666667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-791548.6006275094</v>
      </c>
      <c r="P15" s="4" t="n">
        <v>-18826378.19136817</v>
      </c>
    </row>
    <row r="16">
      <c r="A16" t="inlineStr">
        <is>
          <t>2027-03</t>
        </is>
      </c>
      <c r="B16" s="4" t="n">
        <v>0</v>
      </c>
      <c r="C16" s="4" t="n">
        <v>0</v>
      </c>
      <c r="D16" s="4" t="n">
        <v>-54450</v>
      </c>
      <c r="E16" s="4" t="n">
        <v>-198990</v>
      </c>
      <c r="F16" s="4" t="n">
        <v>-80000</v>
      </c>
      <c r="G16" s="4" t="n">
        <v>-3576.125</v>
      </c>
      <c r="H16" s="4" t="n">
        <v>-32356.88888888889</v>
      </c>
      <c r="I16" s="4" t="n">
        <v>-13354.87037037037</v>
      </c>
      <c r="J16" s="4" t="n">
        <v>-11920.41666666667</v>
      </c>
      <c r="K16" s="4" t="n">
        <v>-6220.550233333333</v>
      </c>
      <c r="L16" s="4" t="n">
        <v>71522.5</v>
      </c>
      <c r="M16" s="4" t="n">
        <v>33377.16666666667</v>
      </c>
      <c r="N16" s="4" t="n">
        <v>0</v>
      </c>
      <c r="O16" s="4" t="n">
        <v>-295969.1844925926</v>
      </c>
      <c r="P16" s="4" t="n">
        <v>-19122347.37586076</v>
      </c>
    </row>
    <row r="17">
      <c r="A17" t="inlineStr">
        <is>
          <t>2027-04</t>
        </is>
      </c>
      <c r="B17" s="4" t="n">
        <v>0</v>
      </c>
      <c r="C17" s="4" t="n">
        <v>0</v>
      </c>
      <c r="D17" s="4" t="n">
        <v>-54450</v>
      </c>
      <c r="E17" s="4" t="n">
        <v>-198990</v>
      </c>
      <c r="F17" s="4" t="n">
        <v>0</v>
      </c>
      <c r="G17" s="4" t="n">
        <v>-3576.125</v>
      </c>
      <c r="H17" s="4" t="n">
        <v>-32281.77777777778</v>
      </c>
      <c r="I17" s="4" t="n">
        <v>-13293.57407407407</v>
      </c>
      <c r="J17" s="4" t="n">
        <v>-11920.41666666667</v>
      </c>
      <c r="K17" s="4" t="n">
        <v>-6385.54387503709</v>
      </c>
      <c r="L17" s="4" t="n">
        <v>71522.5</v>
      </c>
      <c r="M17" s="4" t="n">
        <v>33377.16666666667</v>
      </c>
      <c r="N17" s="4" t="n">
        <v>2782.354834801964</v>
      </c>
      <c r="O17" s="4" t="n">
        <v>-213215.415892087</v>
      </c>
      <c r="P17" s="4" t="n">
        <v>-19335562.79175285</v>
      </c>
    </row>
    <row r="18">
      <c r="A18" t="inlineStr">
        <is>
          <t>2027-05</t>
        </is>
      </c>
      <c r="B18" s="4" t="n">
        <v>0</v>
      </c>
      <c r="C18" s="4" t="n">
        <v>0</v>
      </c>
      <c r="D18" s="4" t="n">
        <v>-54450</v>
      </c>
      <c r="E18" s="4" t="n">
        <v>-198990</v>
      </c>
      <c r="F18" s="4" t="n">
        <v>0</v>
      </c>
      <c r="G18" s="4" t="n">
        <v>-3576.125</v>
      </c>
      <c r="H18" s="4" t="n">
        <v>-32206.66666666666</v>
      </c>
      <c r="I18" s="4" t="n">
        <v>-13232.27777777778</v>
      </c>
      <c r="J18" s="4" t="n">
        <v>-11920.41666666667</v>
      </c>
      <c r="K18" s="4" t="n">
        <v>-6550.537516740847</v>
      </c>
      <c r="L18" s="4" t="n">
        <v>71522.5</v>
      </c>
      <c r="M18" s="4" t="n">
        <v>33377.16666666667</v>
      </c>
      <c r="N18" s="4" t="n">
        <v>5564.709669603927</v>
      </c>
      <c r="O18" s="4" t="n">
        <v>-210461.6472915814</v>
      </c>
      <c r="P18" s="4" t="n">
        <v>-19546024.43904443</v>
      </c>
    </row>
    <row r="19">
      <c r="A19" t="inlineStr">
        <is>
          <t>2027-06</t>
        </is>
      </c>
      <c r="B19" s="4" t="n">
        <v>0</v>
      </c>
      <c r="C19" s="4" t="n">
        <v>0</v>
      </c>
      <c r="D19" s="4" t="n">
        <v>-54450</v>
      </c>
      <c r="E19" s="4" t="n">
        <v>-198990</v>
      </c>
      <c r="F19" s="4" t="n">
        <v>0</v>
      </c>
      <c r="G19" s="4" t="n">
        <v>-3576.125</v>
      </c>
      <c r="H19" s="4" t="n">
        <v>-32131.55555555555</v>
      </c>
      <c r="I19" s="4" t="n">
        <v>-13170.98148148148</v>
      </c>
      <c r="J19" s="4" t="n">
        <v>-11920.41666666667</v>
      </c>
      <c r="K19" s="4" t="n">
        <v>-6715.531158444603</v>
      </c>
      <c r="L19" s="4" t="n">
        <v>71522.5</v>
      </c>
      <c r="M19" s="4" t="n">
        <v>33377.16666666667</v>
      </c>
      <c r="N19" s="4" t="n">
        <v>8347.064504405891</v>
      </c>
      <c r="O19" s="4" t="n">
        <v>-207707.8786910757</v>
      </c>
      <c r="P19" s="4" t="n">
        <v>-19753732.3177355</v>
      </c>
    </row>
    <row r="20">
      <c r="A20" t="inlineStr">
        <is>
          <t>2027-07</t>
        </is>
      </c>
      <c r="B20" s="4" t="n">
        <v>0</v>
      </c>
      <c r="C20" s="4" t="n">
        <v>0</v>
      </c>
      <c r="D20" s="4" t="n">
        <v>-37450</v>
      </c>
      <c r="E20" s="4" t="n">
        <v>-602910</v>
      </c>
      <c r="F20" s="4" t="n">
        <v>-80000</v>
      </c>
      <c r="G20" s="4" t="n">
        <v>-8812.125</v>
      </c>
      <c r="H20" s="4" t="n">
        <v>-31905.33333333334</v>
      </c>
      <c r="I20" s="4" t="n">
        <v>-13041.25925925926</v>
      </c>
      <c r="J20" s="4" t="n">
        <v>-29373.75</v>
      </c>
      <c r="K20" s="4" t="n">
        <v>-15988.37226681503</v>
      </c>
      <c r="L20" s="4" t="n">
        <v>176242.5</v>
      </c>
      <c r="M20" s="4" t="n">
        <v>82246.5</v>
      </c>
      <c r="N20" s="4" t="n">
        <v>11129.41933920785</v>
      </c>
      <c r="O20" s="4" t="n">
        <v>-549862.4205201997</v>
      </c>
      <c r="P20" s="4" t="n">
        <v>-20303594.73825571</v>
      </c>
    </row>
    <row r="21">
      <c r="A21" t="inlineStr">
        <is>
          <t>2027-08</t>
        </is>
      </c>
      <c r="B21" s="4" t="n">
        <v>0</v>
      </c>
      <c r="C21" s="4" t="n">
        <v>0</v>
      </c>
      <c r="D21" s="4" t="n">
        <v>-37450</v>
      </c>
      <c r="E21" s="4" t="n">
        <v>-602910</v>
      </c>
      <c r="F21" s="4" t="n">
        <v>0</v>
      </c>
      <c r="G21" s="4" t="n">
        <v>-8812.125</v>
      </c>
      <c r="H21" s="4" t="n">
        <v>-31679.11111111111</v>
      </c>
      <c r="I21" s="4" t="n">
        <v>-12911.53703703704</v>
      </c>
      <c r="J21" s="4" t="n">
        <v>-29373.75</v>
      </c>
      <c r="K21" s="4" t="n">
        <v>-16394.94211403757</v>
      </c>
      <c r="L21" s="4" t="n">
        <v>176242.5</v>
      </c>
      <c r="M21" s="4" t="n">
        <v>82246.5</v>
      </c>
      <c r="N21" s="4" t="n">
        <v>17985.57190619845</v>
      </c>
      <c r="O21" s="4" t="n">
        <v>-463056.8933559873</v>
      </c>
      <c r="P21" s="4" t="n">
        <v>-20766651.63161169</v>
      </c>
    </row>
    <row r="22">
      <c r="A22" t="inlineStr">
        <is>
          <t>2027-09</t>
        </is>
      </c>
      <c r="B22" s="4" t="n">
        <v>0</v>
      </c>
      <c r="C22" s="4" t="n">
        <v>0</v>
      </c>
      <c r="D22" s="4" t="n">
        <v>-37450</v>
      </c>
      <c r="E22" s="4" t="n">
        <v>-602910</v>
      </c>
      <c r="F22" s="4" t="n">
        <v>0</v>
      </c>
      <c r="G22" s="4" t="n">
        <v>-8812.125</v>
      </c>
      <c r="H22" s="4" t="n">
        <v>-31452.88888888889</v>
      </c>
      <c r="I22" s="4" t="n">
        <v>-12781.81481481482</v>
      </c>
      <c r="J22" s="4" t="n">
        <v>-29373.75</v>
      </c>
      <c r="K22" s="4" t="n">
        <v>-16801.51196126011</v>
      </c>
      <c r="L22" s="4" t="n">
        <v>176242.5</v>
      </c>
      <c r="M22" s="4" t="n">
        <v>82246.5</v>
      </c>
      <c r="N22" s="4" t="n">
        <v>24841.72447318905</v>
      </c>
      <c r="O22" s="4" t="n">
        <v>-456251.3661917748</v>
      </c>
      <c r="P22" s="4" t="n">
        <v>-21222902.99780347</v>
      </c>
    </row>
    <row r="23">
      <c r="A23" t="inlineStr">
        <is>
          <t>2027-10</t>
        </is>
      </c>
      <c r="B23" s="4" t="n">
        <v>0</v>
      </c>
      <c r="C23" s="4" t="n">
        <v>0</v>
      </c>
      <c r="D23" s="4" t="n">
        <v>-19050</v>
      </c>
      <c r="E23" s="4" t="n">
        <v>-1039500</v>
      </c>
      <c r="F23" s="4" t="n">
        <v>-80000</v>
      </c>
      <c r="G23" s="4" t="n">
        <v>-14398.125</v>
      </c>
      <c r="H23" s="4" t="n">
        <v>-31063.11111111111</v>
      </c>
      <c r="I23" s="4" t="n">
        <v>-12582.27777777778</v>
      </c>
      <c r="J23" s="4" t="n">
        <v>-47993.75</v>
      </c>
      <c r="K23" s="4" t="n">
        <v>-26924.74260848265</v>
      </c>
      <c r="L23" s="4" t="n">
        <v>287962.5</v>
      </c>
      <c r="M23" s="4" t="n">
        <v>134382.5</v>
      </c>
      <c r="N23" s="4" t="n">
        <v>31697.87704017965</v>
      </c>
      <c r="O23" s="4" t="n">
        <v>-817469.1294571918</v>
      </c>
      <c r="P23" s="4" t="n">
        <v>-22040372.12726066</v>
      </c>
    </row>
    <row r="24">
      <c r="A24" t="inlineStr">
        <is>
          <t>2027-11</t>
        </is>
      </c>
      <c r="B24" s="4" t="n">
        <v>0</v>
      </c>
      <c r="C24" s="4" t="n">
        <v>0</v>
      </c>
      <c r="D24" s="4" t="n">
        <v>-19050</v>
      </c>
      <c r="E24" s="4" t="n">
        <v>-1039500</v>
      </c>
      <c r="F24" s="4" t="n">
        <v>0</v>
      </c>
      <c r="G24" s="4" t="n">
        <v>-14398.125</v>
      </c>
      <c r="H24" s="4" t="n">
        <v>-30673.33333333334</v>
      </c>
      <c r="I24" s="4" t="n">
        <v>-12382.74074074074</v>
      </c>
      <c r="J24" s="4" t="n">
        <v>-47993.75</v>
      </c>
      <c r="K24" s="4" t="n">
        <v>-27589.03680330412</v>
      </c>
      <c r="L24" s="4" t="n">
        <v>287962.5</v>
      </c>
      <c r="M24" s="4" t="n">
        <v>134382.5</v>
      </c>
      <c r="N24" s="4" t="n">
        <v>42900.14002199181</v>
      </c>
      <c r="O24" s="4" t="n">
        <v>-726341.8458553862</v>
      </c>
      <c r="P24" s="4" t="n">
        <v>-22766713.97311604</v>
      </c>
    </row>
    <row r="25">
      <c r="A25" t="inlineStr">
        <is>
          <t>2027-12</t>
        </is>
      </c>
      <c r="B25" s="4" t="n">
        <v>0</v>
      </c>
      <c r="C25" s="4" t="n">
        <v>0</v>
      </c>
      <c r="D25" s="4" t="n">
        <v>-19050</v>
      </c>
      <c r="E25" s="4" t="n">
        <v>-1039500</v>
      </c>
      <c r="F25" s="4" t="n">
        <v>0</v>
      </c>
      <c r="G25" s="4" t="n">
        <v>-14398.125</v>
      </c>
      <c r="H25" s="4" t="n">
        <v>-30283.55555555555</v>
      </c>
      <c r="I25" s="4" t="n">
        <v>-12183.2037037037</v>
      </c>
      <c r="J25" s="4" t="n">
        <v>-47993.75</v>
      </c>
      <c r="K25" s="4" t="n">
        <v>-28253.33099812557</v>
      </c>
      <c r="L25" s="4" t="n">
        <v>287962.5</v>
      </c>
      <c r="M25" s="4" t="n">
        <v>134382.5</v>
      </c>
      <c r="N25" s="4" t="n">
        <v>54102.40300380397</v>
      </c>
      <c r="O25" s="4" t="n">
        <v>-715214.5622535808</v>
      </c>
      <c r="P25" s="4" t="n">
        <v>-23481928.53536962</v>
      </c>
    </row>
    <row r="26">
      <c r="A26" t="inlineStr">
        <is>
          <t>2028-01</t>
        </is>
      </c>
      <c r="B26" s="4" t="n">
        <v>0</v>
      </c>
      <c r="C26" s="4" t="n">
        <v>0</v>
      </c>
      <c r="D26" s="4" t="n">
        <v>0</v>
      </c>
      <c r="E26" s="4" t="n">
        <v>-1490940</v>
      </c>
      <c r="F26" s="4" t="n">
        <v>-80000</v>
      </c>
      <c r="G26" s="4" t="n">
        <v>-21732.125</v>
      </c>
      <c r="H26" s="4" t="n">
        <v>-29724.44444444445</v>
      </c>
      <c r="I26" s="4" t="n">
        <v>-11901.18981481482</v>
      </c>
      <c r="J26" s="4" t="n">
        <v>-72440.41666666667</v>
      </c>
      <c r="K26" s="4" t="n">
        <v>-41674.87372628037</v>
      </c>
      <c r="L26" s="4" t="n">
        <v>434642.5</v>
      </c>
      <c r="M26" s="4" t="n">
        <v>202833.1666666667</v>
      </c>
      <c r="N26" s="4" t="n">
        <v>65304.66598561614</v>
      </c>
      <c r="O26" s="4" t="n">
        <v>-1045632.716999923</v>
      </c>
      <c r="P26" s="4" t="n">
        <v>-24527561.25236955</v>
      </c>
    </row>
    <row r="27">
      <c r="A27" t="inlineStr">
        <is>
          <t>2028-02</t>
        </is>
      </c>
      <c r="B27" s="4" t="n">
        <v>0</v>
      </c>
      <c r="C27" s="4" t="n">
        <v>0</v>
      </c>
      <c r="D27" s="4" t="n">
        <v>0</v>
      </c>
      <c r="E27" s="4" t="n">
        <v>-1490940</v>
      </c>
      <c r="F27" s="4" t="n">
        <v>0</v>
      </c>
      <c r="G27" s="4" t="n">
        <v>-21732.125</v>
      </c>
      <c r="H27" s="4" t="n">
        <v>-29165.33333333333</v>
      </c>
      <c r="I27" s="4" t="n">
        <v>-11619.17592592593</v>
      </c>
      <c r="J27" s="4" t="n">
        <v>-72440.41666666667</v>
      </c>
      <c r="K27" s="4" t="n">
        <v>-42677.54070400381</v>
      </c>
      <c r="L27" s="4" t="n">
        <v>434642.5</v>
      </c>
      <c r="M27" s="4" t="n">
        <v>202833.1666666667</v>
      </c>
      <c r="N27" s="4" t="n">
        <v>82213.04672294234</v>
      </c>
      <c r="O27" s="4" t="n">
        <v>-948885.8782403207</v>
      </c>
      <c r="P27" s="4" t="n">
        <v>-25476447.13060987</v>
      </c>
    </row>
    <row r="28">
      <c r="A28" t="inlineStr">
        <is>
          <t>2028-03</t>
        </is>
      </c>
      <c r="B28" s="4" t="n">
        <v>0</v>
      </c>
      <c r="C28" s="4" t="n">
        <v>0</v>
      </c>
      <c r="D28" s="4" t="n">
        <v>0</v>
      </c>
      <c r="E28" s="4" t="n">
        <v>-1291950</v>
      </c>
      <c r="F28" s="4" t="n">
        <v>0</v>
      </c>
      <c r="G28" s="4" t="n">
        <v>-21732.125</v>
      </c>
      <c r="H28" s="4" t="n">
        <v>-28606.22222222222</v>
      </c>
      <c r="I28" s="4" t="n">
        <v>-11337.16203703704</v>
      </c>
      <c r="J28" s="4" t="n">
        <v>-72440.41666666667</v>
      </c>
      <c r="K28" s="4" t="n">
        <v>-43680.20768172726</v>
      </c>
      <c r="L28" s="4" t="n">
        <v>434642.5</v>
      </c>
      <c r="M28" s="4" t="n">
        <v>202833.1666666667</v>
      </c>
      <c r="N28" s="4" t="n">
        <v>99121.42746026852</v>
      </c>
      <c r="O28" s="4" t="n">
        <v>-733149.039480718</v>
      </c>
      <c r="P28" s="4" t="n">
        <v>-26209596.17009059</v>
      </c>
    </row>
    <row r="29">
      <c r="A29" t="inlineStr">
        <is>
          <t>2028-04</t>
        </is>
      </c>
      <c r="B29" s="4" t="n">
        <v>0</v>
      </c>
      <c r="C29" s="4" t="n">
        <v>0</v>
      </c>
      <c r="D29" s="4" t="n">
        <v>0</v>
      </c>
      <c r="E29" s="4" t="n">
        <v>-1291950</v>
      </c>
      <c r="F29" s="4" t="n">
        <v>0</v>
      </c>
      <c r="G29" s="4" t="n">
        <v>-21732.125</v>
      </c>
      <c r="H29" s="4" t="n">
        <v>-28047.11111111111</v>
      </c>
      <c r="I29" s="4" t="n">
        <v>-11055.14814814815</v>
      </c>
      <c r="J29" s="4" t="n">
        <v>-72440.41666666667</v>
      </c>
      <c r="K29" s="4" t="n">
        <v>-44690.29937332737</v>
      </c>
      <c r="L29" s="4" t="n">
        <v>434642.5</v>
      </c>
      <c r="M29" s="4" t="n">
        <v>202833.1666666667</v>
      </c>
      <c r="N29" s="4" t="n">
        <v>116155.0141651608</v>
      </c>
      <c r="O29" s="4" t="n">
        <v>-716284.4194674258</v>
      </c>
      <c r="P29" s="4" t="n">
        <v>-26925880.58955801</v>
      </c>
    </row>
    <row r="30">
      <c r="A30" t="inlineStr">
        <is>
          <t>2028-05</t>
        </is>
      </c>
      <c r="B30" s="4" t="n">
        <v>0</v>
      </c>
      <c r="C30" s="4" t="n">
        <v>0</v>
      </c>
      <c r="D30" s="4" t="n">
        <v>0</v>
      </c>
      <c r="E30" s="4" t="n">
        <v>-1291950</v>
      </c>
      <c r="F30" s="4" t="n">
        <v>0</v>
      </c>
      <c r="G30" s="4" t="n">
        <v>-21732.125</v>
      </c>
      <c r="H30" s="4" t="n">
        <v>-27488</v>
      </c>
      <c r="I30" s="4" t="n">
        <v>-10773.13425925926</v>
      </c>
      <c r="J30" s="4" t="n">
        <v>-72440.41666666667</v>
      </c>
      <c r="K30" s="4" t="n">
        <v>-45700.39106492748</v>
      </c>
      <c r="L30" s="4" t="n">
        <v>434642.5</v>
      </c>
      <c r="M30" s="4" t="n">
        <v>202833.1666666667</v>
      </c>
      <c r="N30" s="4" t="n">
        <v>133188.6008700531</v>
      </c>
      <c r="O30" s="4" t="n">
        <v>-699419.7994541336</v>
      </c>
      <c r="P30" s="4" t="n">
        <v>-27625300.38901215</v>
      </c>
    </row>
    <row r="31">
      <c r="A31" t="inlineStr">
        <is>
          <t>2028-06</t>
        </is>
      </c>
      <c r="B31" s="4" t="n">
        <v>0</v>
      </c>
      <c r="C31" s="4" t="n">
        <v>0</v>
      </c>
      <c r="D31" s="4" t="n">
        <v>0</v>
      </c>
      <c r="E31" s="4" t="n">
        <v>-1291950</v>
      </c>
      <c r="F31" s="4" t="n">
        <v>0</v>
      </c>
      <c r="G31" s="4" t="n">
        <v>-21732.125</v>
      </c>
      <c r="H31" s="4" t="n">
        <v>-26928.88888888889</v>
      </c>
      <c r="I31" s="4" t="n">
        <v>-10491.12037037037</v>
      </c>
      <c r="J31" s="4" t="n">
        <v>-72440.41666666667</v>
      </c>
      <c r="K31" s="4" t="n">
        <v>-46710.48275652759</v>
      </c>
      <c r="L31" s="4" t="n">
        <v>434642.5</v>
      </c>
      <c r="M31" s="4" t="n">
        <v>202833.1666666667</v>
      </c>
      <c r="N31" s="4" t="n">
        <v>150222.1875749453</v>
      </c>
      <c r="O31" s="4" t="n">
        <v>-682555.1794408415</v>
      </c>
      <c r="P31" s="4" t="n">
        <v>-28307855.56845299</v>
      </c>
    </row>
    <row r="32">
      <c r="A32" t="inlineStr">
        <is>
          <t>2028-07</t>
        </is>
      </c>
      <c r="B32" s="4" t="n">
        <v>0</v>
      </c>
      <c r="C32" s="4" t="n">
        <v>0</v>
      </c>
      <c r="D32" s="4" t="n">
        <v>0</v>
      </c>
      <c r="E32" s="4" t="n">
        <v>-888030</v>
      </c>
      <c r="F32" s="4" t="n">
        <v>0</v>
      </c>
      <c r="G32" s="4" t="n">
        <v>-21732.125</v>
      </c>
      <c r="H32" s="4" t="n">
        <v>-22049.77777777778</v>
      </c>
      <c r="I32" s="4" t="n">
        <v>-10035.85648148148</v>
      </c>
      <c r="J32" s="4" t="n">
        <v>-128661.7229950339</v>
      </c>
      <c r="K32" s="4" t="n">
        <v>-74391.96217030509</v>
      </c>
      <c r="L32" s="4" t="n">
        <v>434642.5</v>
      </c>
      <c r="M32" s="4" t="n">
        <v>652603.617293604</v>
      </c>
      <c r="N32" s="4" t="n">
        <v>167255.7742798376</v>
      </c>
      <c r="O32" s="4" t="n">
        <v>109600.4471488435</v>
      </c>
      <c r="P32" s="4" t="n">
        <v>-28198255.12130414</v>
      </c>
    </row>
    <row r="33">
      <c r="A33" t="inlineStr">
        <is>
          <t>2028-08</t>
        </is>
      </c>
      <c r="B33" s="4" t="n">
        <v>0</v>
      </c>
      <c r="C33" s="4" t="n">
        <v>0</v>
      </c>
      <c r="D33" s="4" t="n">
        <v>0</v>
      </c>
      <c r="E33" s="4" t="n">
        <v>-888030</v>
      </c>
      <c r="F33" s="4" t="n">
        <v>0</v>
      </c>
      <c r="G33" s="4" t="n">
        <v>-21732.125</v>
      </c>
      <c r="H33" s="4" t="n">
        <v>-21490.66666666666</v>
      </c>
      <c r="I33" s="4" t="n">
        <v>-9753.842592592591</v>
      </c>
      <c r="J33" s="4" t="n">
        <v>-72440.41666666667</v>
      </c>
      <c r="K33" s="4" t="n">
        <v>-52216.25852493834</v>
      </c>
      <c r="L33" s="4" t="n">
        <v>434642.5</v>
      </c>
      <c r="M33" s="4" t="n">
        <v>202833.1666666667</v>
      </c>
      <c r="N33" s="4" t="n">
        <v>243068.3219494943</v>
      </c>
      <c r="O33" s="4" t="n">
        <v>-185119.3208347033</v>
      </c>
      <c r="P33" s="4" t="n">
        <v>-28383374.44213885</v>
      </c>
    </row>
    <row r="34">
      <c r="A34" t="inlineStr">
        <is>
          <t>2028-09</t>
        </is>
      </c>
      <c r="B34" s="4" t="n">
        <v>0</v>
      </c>
      <c r="C34" s="4" t="n">
        <v>0</v>
      </c>
      <c r="D34" s="4" t="n">
        <v>0</v>
      </c>
      <c r="E34" s="4" t="n">
        <v>-888030</v>
      </c>
      <c r="F34" s="4" t="n">
        <v>0</v>
      </c>
      <c r="G34" s="4" t="n">
        <v>-21732.125</v>
      </c>
      <c r="H34" s="4" t="n">
        <v>-20931.55555555555</v>
      </c>
      <c r="I34" s="4" t="n">
        <v>-9471.828703703703</v>
      </c>
      <c r="J34" s="4" t="n">
        <v>-72440.41666666667</v>
      </c>
      <c r="K34" s="4" t="n">
        <v>-53237.2211457868</v>
      </c>
      <c r="L34" s="4" t="n">
        <v>434642.5</v>
      </c>
      <c r="M34" s="4" t="n">
        <v>202833.1666666667</v>
      </c>
      <c r="N34" s="4" t="n">
        <v>260285.2295523351</v>
      </c>
      <c r="O34" s="4" t="n">
        <v>-168082.250852711</v>
      </c>
      <c r="P34" s="4" t="n">
        <v>-28551456.69299156</v>
      </c>
    </row>
    <row r="35">
      <c r="A35" t="inlineStr">
        <is>
          <t>2028-10</t>
        </is>
      </c>
      <c r="B35" s="4" t="n">
        <v>0</v>
      </c>
      <c r="C35" s="4" t="n">
        <v>0</v>
      </c>
      <c r="D35" s="4" t="n">
        <v>0</v>
      </c>
      <c r="E35" s="4" t="n">
        <v>-451440</v>
      </c>
      <c r="F35" s="4" t="n">
        <v>0</v>
      </c>
      <c r="G35" s="4" t="n">
        <v>-21732.125</v>
      </c>
      <c r="H35" s="4" t="n">
        <v>-14332.44444444444</v>
      </c>
      <c r="I35" s="4" t="n">
        <v>-9001.064814814812</v>
      </c>
      <c r="J35" s="4" t="n">
        <v>-133578.1952562594</v>
      </c>
      <c r="K35" s="4" t="n">
        <v>-83261.94592953804</v>
      </c>
      <c r="L35" s="4" t="n">
        <v>434642.5</v>
      </c>
      <c r="M35" s="4" t="n">
        <v>691935.3953834082</v>
      </c>
      <c r="N35" s="4" t="n">
        <v>277502.1371551758</v>
      </c>
      <c r="O35" s="4" t="n">
        <v>690734.2570935275</v>
      </c>
      <c r="P35" s="4" t="n">
        <v>-27860722.43589803</v>
      </c>
    </row>
    <row r="36">
      <c r="A36" t="inlineStr">
        <is>
          <t>2028-11</t>
        </is>
      </c>
      <c r="B36" s="4" t="n">
        <v>0</v>
      </c>
      <c r="C36" s="4" t="n">
        <v>0</v>
      </c>
      <c r="D36" s="4" t="n">
        <v>0</v>
      </c>
      <c r="E36" s="4" t="n">
        <v>-451440</v>
      </c>
      <c r="F36" s="4" t="n">
        <v>0</v>
      </c>
      <c r="G36" s="4" t="n">
        <v>-21732.125</v>
      </c>
      <c r="H36" s="4" t="n">
        <v>-13773.33333333333</v>
      </c>
      <c r="I36" s="4" t="n">
        <v>-8719.050925925925</v>
      </c>
      <c r="J36" s="4" t="n">
        <v>-72440.41666666667</v>
      </c>
      <c r="K36" s="4" t="n">
        <v>-59069.3248256689</v>
      </c>
      <c r="L36" s="4" t="n">
        <v>434642.5</v>
      </c>
      <c r="M36" s="4" t="n">
        <v>202833.1666666667</v>
      </c>
      <c r="N36" s="4" t="n">
        <v>358634.3641203301</v>
      </c>
      <c r="O36" s="4" t="n">
        <v>368935.780035402</v>
      </c>
      <c r="P36" s="4" t="n">
        <v>-27491786.65586263</v>
      </c>
    </row>
    <row r="37">
      <c r="A37" t="inlineStr">
        <is>
          <t>2028-12</t>
        </is>
      </c>
      <c r="B37" s="4" t="n">
        <v>0</v>
      </c>
      <c r="C37" s="4" t="n">
        <v>0</v>
      </c>
      <c r="D37" s="4" t="n">
        <v>0</v>
      </c>
      <c r="E37" s="4" t="n">
        <v>-451440</v>
      </c>
      <c r="F37" s="4" t="n">
        <v>0</v>
      </c>
      <c r="G37" s="4" t="n">
        <v>-21732.125</v>
      </c>
      <c r="H37" s="4" t="n">
        <v>-13214.22222222222</v>
      </c>
      <c r="I37" s="4" t="n">
        <v>-8437.037037037036</v>
      </c>
      <c r="J37" s="4" t="n">
        <v>-72440.41666666667</v>
      </c>
      <c r="K37" s="4" t="n">
        <v>-60101.88504215932</v>
      </c>
      <c r="L37" s="4" t="n">
        <v>434642.5</v>
      </c>
      <c r="M37" s="4" t="n">
        <v>202833.1666666667</v>
      </c>
      <c r="N37" s="4" t="n">
        <v>376046.8466918378</v>
      </c>
      <c r="O37" s="4" t="n">
        <v>386156.8273904193</v>
      </c>
      <c r="P37" s="4" t="n">
        <v>-27105629.82847221</v>
      </c>
    </row>
    <row r="38">
      <c r="A38" t="inlineStr">
        <is>
          <t>2029-01</t>
        </is>
      </c>
      <c r="B38" s="4" t="n">
        <v>0</v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-21732.125</v>
      </c>
      <c r="H38" s="4" t="n">
        <v>-12655.11111111111</v>
      </c>
      <c r="I38" s="4" t="n">
        <v>-8155.023148148147</v>
      </c>
      <c r="J38" s="4" t="n">
        <v>-72440.41666666667</v>
      </c>
      <c r="K38" s="4" t="n">
        <v>-61134.44525864972</v>
      </c>
      <c r="L38" s="4" t="n">
        <v>434642.5</v>
      </c>
      <c r="M38" s="4" t="n">
        <v>202833.1666666667</v>
      </c>
      <c r="N38" s="4" t="n">
        <v>393459.3292633456</v>
      </c>
      <c r="O38" s="4" t="n">
        <v>854817.8747454367</v>
      </c>
      <c r="P38" s="4" t="n">
        <v>-26250811.95372678</v>
      </c>
    </row>
    <row r="39">
      <c r="A39" t="inlineStr">
        <is>
          <t>2029-02</t>
        </is>
      </c>
      <c r="B39" s="4" t="n">
        <v>0</v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-21732.125</v>
      </c>
      <c r="H39" s="4" t="n">
        <v>-12096</v>
      </c>
      <c r="I39" s="4" t="n">
        <v>-7873.009259259258</v>
      </c>
      <c r="J39" s="4" t="n">
        <v>-72440.41666666667</v>
      </c>
      <c r="K39" s="4" t="n">
        <v>-62182.23225037073</v>
      </c>
      <c r="L39" s="4" t="n">
        <v>434642.5</v>
      </c>
      <c r="M39" s="4" t="n">
        <v>202833.1666666667</v>
      </c>
      <c r="N39" s="4" t="n">
        <v>411128.5871338515</v>
      </c>
      <c r="O39" s="4" t="n">
        <v>872280.4706242216</v>
      </c>
      <c r="P39" s="4" t="n">
        <v>-25378531.48310255</v>
      </c>
    </row>
    <row r="40">
      <c r="A40" t="inlineStr">
        <is>
          <t>2029-03</t>
        </is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-21732.125</v>
      </c>
      <c r="H40" s="4" t="n">
        <v>-11536.88888888889</v>
      </c>
      <c r="I40" s="4" t="n">
        <v>-7590.99537037037</v>
      </c>
      <c r="J40" s="4" t="n">
        <v>-72440.41666666667</v>
      </c>
      <c r="K40" s="4" t="n">
        <v>-63230.01924209172</v>
      </c>
      <c r="L40" s="4" t="n">
        <v>434642.5</v>
      </c>
      <c r="M40" s="4" t="n">
        <v>202833.1666666667</v>
      </c>
      <c r="N40" s="4" t="n">
        <v>428797.8450043573</v>
      </c>
      <c r="O40" s="4" t="n">
        <v>889743.0665030064</v>
      </c>
      <c r="P40" s="4" t="n">
        <v>-24488788.41659955</v>
      </c>
    </row>
    <row r="41">
      <c r="A41" t="inlineStr">
        <is>
          <t>2029-04</t>
        </is>
      </c>
      <c r="B41" s="4" t="n">
        <v>0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-21732.125</v>
      </c>
      <c r="H41" s="4" t="n">
        <v>-10177.77777777778</v>
      </c>
      <c r="I41" s="4" t="n">
        <v>-6381.48148148148</v>
      </c>
      <c r="J41" s="4" t="n">
        <v>-158623.2833634435</v>
      </c>
      <c r="K41" s="4" t="n">
        <v>-105170.7170207648</v>
      </c>
      <c r="L41" s="4" t="n">
        <v>434642.5</v>
      </c>
      <c r="M41" s="4" t="n">
        <v>892296.1002408812</v>
      </c>
      <c r="N41" s="4" t="n">
        <v>446597.9431109697</v>
      </c>
      <c r="O41" s="4" t="n">
        <v>1471451.158708383</v>
      </c>
      <c r="P41" s="4" t="n">
        <v>-23017337.25789116</v>
      </c>
    </row>
    <row r="42">
      <c r="A42" t="inlineStr">
        <is>
          <t>2029-05</t>
        </is>
      </c>
      <c r="B42" s="4" t="n">
        <v>0</v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-21732.125</v>
      </c>
      <c r="H42" s="4" t="n">
        <v>-8682.666666666664</v>
      </c>
      <c r="I42" s="4" t="n">
        <v>-4616.967592592592</v>
      </c>
      <c r="J42" s="4" t="n">
        <v>-193900.4178589899</v>
      </c>
      <c r="K42" s="4" t="n">
        <v>-128288.2117491244</v>
      </c>
      <c r="L42" s="4" t="n">
        <v>434642.5</v>
      </c>
      <c r="M42" s="4" t="n">
        <v>1174513.176205253</v>
      </c>
      <c r="N42" s="4" t="n">
        <v>554220.5758879071</v>
      </c>
      <c r="O42" s="4" t="n">
        <v>1806155.863225786</v>
      </c>
      <c r="P42" s="4" t="n">
        <v>-21211181.39466538</v>
      </c>
    </row>
    <row r="43">
      <c r="A43" t="inlineStr">
        <is>
          <t>2029-06</t>
        </is>
      </c>
      <c r="B43" s="4" t="n">
        <v>0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-21732.125</v>
      </c>
      <c r="H43" s="4" t="n">
        <v>-8123.555555555553</v>
      </c>
      <c r="I43" s="4" t="n">
        <v>-4334.953703703703</v>
      </c>
      <c r="J43" s="4" t="n">
        <v>-72440.41666666667</v>
      </c>
      <c r="K43" s="4" t="n">
        <v>-79229.88977628549</v>
      </c>
      <c r="L43" s="4" t="n">
        <v>434642.5</v>
      </c>
      <c r="M43" s="4" t="n">
        <v>202833.1666666667</v>
      </c>
      <c r="N43" s="4" t="n">
        <v>698610.1642993619</v>
      </c>
      <c r="O43" s="4" t="n">
        <v>1150224.890263817</v>
      </c>
      <c r="P43" s="4" t="n">
        <v>-20060956.50440156</v>
      </c>
    </row>
    <row r="44">
      <c r="A44" t="inlineStr">
        <is>
          <t>2029-07</t>
        </is>
      </c>
      <c r="B44" s="4" t="n">
        <v>0</v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-21732.125</v>
      </c>
      <c r="H44" s="4" t="n">
        <v>-7564.444444444442</v>
      </c>
      <c r="I44" s="4" t="n">
        <v>-4052.939814814813</v>
      </c>
      <c r="J44" s="4" t="n">
        <v>-72440.41666666667</v>
      </c>
      <c r="K44" s="4" t="n">
        <v>-80285.43559400761</v>
      </c>
      <c r="L44" s="4" t="n">
        <v>434642.5</v>
      </c>
      <c r="M44" s="4" t="n">
        <v>202833.1666666667</v>
      </c>
      <c r="N44" s="4" t="n">
        <v>716410.2624059742</v>
      </c>
      <c r="O44" s="4" t="n">
        <v>1167810.567552707</v>
      </c>
      <c r="P44" s="4" t="n">
        <v>-18893145.93684885</v>
      </c>
    </row>
    <row r="45">
      <c r="A45" t="inlineStr">
        <is>
          <t>2029-08</t>
        </is>
      </c>
      <c r="B45" s="4" t="n">
        <v>0</v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-21732.125</v>
      </c>
      <c r="H45" s="4" t="n">
        <v>-6797.33333333333</v>
      </c>
      <c r="I45" s="4" t="n">
        <v>-3279.259259259257</v>
      </c>
      <c r="J45" s="4" t="n">
        <v>-113495.8520904064</v>
      </c>
      <c r="K45" s="4" t="n">
        <v>-97354.31864185419</v>
      </c>
      <c r="L45" s="4" t="n">
        <v>434642.5</v>
      </c>
      <c r="M45" s="4" t="n">
        <v>531276.6500565845</v>
      </c>
      <c r="N45" s="4" t="n">
        <v>675806.290784127</v>
      </c>
      <c r="O45" s="4" t="n">
        <v>1399066.552515858</v>
      </c>
      <c r="P45" s="4" t="n">
        <v>-17494079.38433299</v>
      </c>
    </row>
    <row r="46">
      <c r="A46" t="inlineStr">
        <is>
          <t>2029-09</t>
        </is>
      </c>
      <c r="B46" s="4" t="n">
        <v>0</v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-21732.125</v>
      </c>
      <c r="H46" s="4" t="n">
        <v>-6238.222222222218</v>
      </c>
      <c r="I46" s="4" t="n">
        <v>-2997.245370370369</v>
      </c>
      <c r="J46" s="4" t="n">
        <v>-72440.41666666667</v>
      </c>
      <c r="K46" s="4" t="n">
        <v>-81481.93063438615</v>
      </c>
      <c r="L46" s="4" t="n">
        <v>434642.5</v>
      </c>
      <c r="M46" s="4" t="n">
        <v>202833.1666666667</v>
      </c>
      <c r="N46" s="4" t="n">
        <v>736587.2445371469</v>
      </c>
      <c r="O46" s="4" t="n">
        <v>1189172.971310169</v>
      </c>
      <c r="P46" s="4" t="n">
        <v>-16304906.41302282</v>
      </c>
    </row>
    <row r="47">
      <c r="A47" t="inlineStr">
        <is>
          <t>2029-10</t>
        </is>
      </c>
      <c r="B47" s="4" t="n">
        <v>0</v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-21732.125</v>
      </c>
      <c r="H47" s="4" t="n">
        <v>-5679.111111111107</v>
      </c>
      <c r="I47" s="4" t="n">
        <v>-2715.231481481479</v>
      </c>
      <c r="J47" s="4" t="n">
        <v>-72440.41666666667</v>
      </c>
      <c r="K47" s="4" t="n">
        <v>-82548.83657317278</v>
      </c>
      <c r="L47" s="4" t="n">
        <v>434642.5</v>
      </c>
      <c r="M47" s="4" t="n">
        <v>202833.1666666667</v>
      </c>
      <c r="N47" s="4" t="n">
        <v>754578.9129821155</v>
      </c>
      <c r="O47" s="4" t="n">
        <v>1206938.85881635</v>
      </c>
      <c r="P47" s="4" t="n">
        <v>-15097967.55420647</v>
      </c>
    </row>
    <row r="48">
      <c r="A48" t="inlineStr">
        <is>
          <t>2029-11</t>
        </is>
      </c>
      <c r="B48" s="4" t="n">
        <v>0</v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-21732.125</v>
      </c>
      <c r="H48" s="4" t="n">
        <v>-5119.999999999995</v>
      </c>
      <c r="I48" s="4" t="n">
        <v>-2433.21759259259</v>
      </c>
      <c r="J48" s="4" t="n">
        <v>-72440.41666666667</v>
      </c>
      <c r="K48" s="4" t="n">
        <v>-79849.28115686202</v>
      </c>
      <c r="L48" s="4" t="n">
        <v>434642.5</v>
      </c>
      <c r="M48" s="4" t="n">
        <v>202833.1666666667</v>
      </c>
      <c r="N48" s="4" t="n">
        <v>709055.2128756945</v>
      </c>
      <c r="O48" s="4" t="n">
        <v>1164955.83912624</v>
      </c>
      <c r="P48" s="4" t="n">
        <v>-13933011.71508023</v>
      </c>
    </row>
    <row r="49">
      <c r="A49" t="inlineStr">
        <is>
          <t>2029-12</t>
        </is>
      </c>
      <c r="B49" s="4" t="n">
        <v>0</v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-21732.125</v>
      </c>
      <c r="H49" s="4" t="n">
        <v>-4560.888888888884</v>
      </c>
      <c r="I49" s="4" t="n">
        <v>-2151.203703703702</v>
      </c>
      <c r="J49" s="4" t="n">
        <v>-72440.41666666667</v>
      </c>
      <c r="K49" s="4" t="n">
        <v>-80928.30658309451</v>
      </c>
      <c r="L49" s="4" t="n">
        <v>434642.5</v>
      </c>
      <c r="M49" s="4" t="n">
        <v>202833.1666666667</v>
      </c>
      <c r="N49" s="4" t="n">
        <v>727251.2571629202</v>
      </c>
      <c r="O49" s="4" t="n">
        <v>1182913.982987233</v>
      </c>
      <c r="P49" s="4" t="n">
        <v>-12750097.732093</v>
      </c>
    </row>
    <row r="50">
      <c r="A50" t="inlineStr">
        <is>
          <t>2030-01</t>
        </is>
      </c>
      <c r="B50" s="4" t="n">
        <v>0</v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-21732.125</v>
      </c>
      <c r="H50" s="4" t="n">
        <v>-4001.777777777773</v>
      </c>
      <c r="I50" s="4" t="n">
        <v>-1869.189814814813</v>
      </c>
      <c r="J50" s="4" t="n">
        <v>-72440.41666666667</v>
      </c>
      <c r="K50" s="4" t="n">
        <v>-82007.33200932697</v>
      </c>
      <c r="L50" s="4" t="n">
        <v>434642.5</v>
      </c>
      <c r="M50" s="4" t="n">
        <v>202833.1666666667</v>
      </c>
      <c r="N50" s="4" t="n">
        <v>745447.3014501457</v>
      </c>
      <c r="O50" s="4" t="n">
        <v>1200872.126848226</v>
      </c>
      <c r="P50" s="4" t="n">
        <v>-11549225.60524477</v>
      </c>
    </row>
    <row r="51">
      <c r="A51" t="inlineStr">
        <is>
          <t>2030-02</t>
        </is>
      </c>
      <c r="B51" s="4" t="n">
        <v>0</v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-21732.125</v>
      </c>
      <c r="H51" s="4" t="n">
        <v>-3442.666666666662</v>
      </c>
      <c r="I51" s="4" t="n">
        <v>-1587.175925925924</v>
      </c>
      <c r="J51" s="4" t="n">
        <v>-72440.41666666667</v>
      </c>
      <c r="K51" s="4" t="n">
        <v>-83102.26941567543</v>
      </c>
      <c r="L51" s="4" t="n">
        <v>434642.5</v>
      </c>
      <c r="M51" s="4" t="n">
        <v>202833.1666666667</v>
      </c>
      <c r="N51" s="4" t="n">
        <v>763911.6759248243</v>
      </c>
      <c r="O51" s="4" t="n">
        <v>1219082.688916557</v>
      </c>
      <c r="P51" s="4" t="n">
        <v>-10330142.91632822</v>
      </c>
    </row>
    <row r="52">
      <c r="A52" t="inlineStr">
        <is>
          <t>2030-03</t>
        </is>
      </c>
      <c r="B52" s="4" t="n">
        <v>0</v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-18156</v>
      </c>
      <c r="H52" s="4" t="n">
        <v>-2958.666666666662</v>
      </c>
      <c r="I52" s="4" t="n">
        <v>-1366.458333333331</v>
      </c>
      <c r="J52" s="4" t="n">
        <v>-60520</v>
      </c>
      <c r="K52" s="4" t="n">
        <v>-77976.65658869053</v>
      </c>
      <c r="L52" s="4" t="n">
        <v>363120</v>
      </c>
      <c r="M52" s="4" t="n">
        <v>169456</v>
      </c>
      <c r="N52" s="4" t="n">
        <v>782376.050399503</v>
      </c>
      <c r="O52" s="4" t="n">
        <v>1153974.268810812</v>
      </c>
      <c r="P52" s="4" t="n">
        <v>-9176168.647517405</v>
      </c>
    </row>
    <row r="53">
      <c r="A53" t="inlineStr">
        <is>
          <t>2030-04</t>
        </is>
      </c>
      <c r="B53" s="4" t="n">
        <v>0</v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-18156</v>
      </c>
      <c r="H53" s="4" t="n">
        <v>-2474.666666666662</v>
      </c>
      <c r="I53" s="4" t="n">
        <v>-1145.740740740739</v>
      </c>
      <c r="J53" s="4" t="n">
        <v>-60520</v>
      </c>
      <c r="K53" s="4" t="n">
        <v>-78914.70832650638</v>
      </c>
      <c r="L53" s="4" t="n">
        <v>363120</v>
      </c>
      <c r="M53" s="4" t="n">
        <v>169456</v>
      </c>
      <c r="N53" s="4" t="n">
        <v>798194.798086111</v>
      </c>
      <c r="O53" s="4" t="n">
        <v>1169559.682352197</v>
      </c>
      <c r="P53" s="4" t="n">
        <v>-8006608.965165208</v>
      </c>
    </row>
    <row r="54">
      <c r="A54" t="inlineStr">
        <is>
          <t>2030-05</t>
        </is>
      </c>
      <c r="B54" s="4" t="n">
        <v>0</v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-18156</v>
      </c>
      <c r="H54" s="4" t="n">
        <v>-1990.666666666662</v>
      </c>
      <c r="I54" s="4" t="n">
        <v>-925.023148148146</v>
      </c>
      <c r="J54" s="4" t="n">
        <v>-60520</v>
      </c>
      <c r="K54" s="4" t="n">
        <v>-74526.28375837198</v>
      </c>
      <c r="L54" s="4" t="n">
        <v>363120</v>
      </c>
      <c r="M54" s="4" t="n">
        <v>169456</v>
      </c>
      <c r="N54" s="4" t="n">
        <v>724191.0111023942</v>
      </c>
      <c r="O54" s="4" t="n">
        <v>1100649.037529207</v>
      </c>
      <c r="P54" s="4" t="n">
        <v>-6905959.927636001</v>
      </c>
    </row>
    <row r="55">
      <c r="A55" t="inlineStr">
        <is>
          <t>2030-06</t>
        </is>
      </c>
      <c r="B55" s="4" t="n">
        <v>0</v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-18156</v>
      </c>
      <c r="H55" s="4" t="n">
        <v>-1506.666666666663</v>
      </c>
      <c r="I55" s="4" t="n">
        <v>-704.3055555555541</v>
      </c>
      <c r="J55" s="4" t="n">
        <v>-60520</v>
      </c>
      <c r="K55" s="4" t="n">
        <v>-67957.57872111068</v>
      </c>
      <c r="L55" s="4" t="n">
        <v>363120</v>
      </c>
      <c r="M55" s="4" t="n">
        <v>169456</v>
      </c>
      <c r="N55" s="4" t="n">
        <v>613420.2684841597</v>
      </c>
      <c r="O55" s="4" t="n">
        <v>997151.7175408268</v>
      </c>
      <c r="P55" s="4" t="n">
        <v>-5908808.210095175</v>
      </c>
    </row>
    <row r="56">
      <c r="A56" t="inlineStr">
        <is>
          <t>2030-07</t>
        </is>
      </c>
      <c r="B56" s="4" t="n">
        <v>0</v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-12920</v>
      </c>
      <c r="H56" s="4" t="n">
        <v>-1173.777777777774</v>
      </c>
      <c r="I56" s="4" t="n">
        <v>-552.0138888888873</v>
      </c>
      <c r="J56" s="4" t="n">
        <v>-43066.66666666667</v>
      </c>
      <c r="K56" s="4" t="n">
        <v>-59787.78299225985</v>
      </c>
      <c r="L56" s="4" t="n">
        <v>258400</v>
      </c>
      <c r="M56" s="4" t="n">
        <v>120586.6666666667</v>
      </c>
      <c r="N56" s="4" t="n">
        <v>629239.0161707677</v>
      </c>
      <c r="O56" s="4" t="n">
        <v>890725.4415118413</v>
      </c>
      <c r="P56" s="4" t="n">
        <v>-5018082.768583333</v>
      </c>
    </row>
    <row r="57">
      <c r="A57" t="inlineStr">
        <is>
          <t>2030-08</t>
        </is>
      </c>
      <c r="B57" s="4" t="n">
        <v>0</v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-12920</v>
      </c>
      <c r="H57" s="4" t="n">
        <v>-840.8888888888853</v>
      </c>
      <c r="I57" s="4" t="n">
        <v>-399.7222222222206</v>
      </c>
      <c r="J57" s="4" t="n">
        <v>-43066.66666666667</v>
      </c>
      <c r="K57" s="4" t="n">
        <v>-60496.12985106935</v>
      </c>
      <c r="L57" s="4" t="n">
        <v>258400</v>
      </c>
      <c r="M57" s="4" t="n">
        <v>120586.6666666667</v>
      </c>
      <c r="N57" s="4" t="n">
        <v>641184.1571287693</v>
      </c>
      <c r="O57" s="4" t="n">
        <v>902447.416166589</v>
      </c>
      <c r="P57" s="4" t="n">
        <v>-4115635.352416744</v>
      </c>
    </row>
    <row r="58">
      <c r="A58" t="inlineStr">
        <is>
          <t>2030-09</t>
        </is>
      </c>
      <c r="B58" s="4" t="n">
        <v>0</v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-12920</v>
      </c>
      <c r="H58" s="4" t="n">
        <v>-507.9999999999982</v>
      </c>
      <c r="I58" s="4" t="n">
        <v>-247.4305555555547</v>
      </c>
      <c r="J58" s="4" t="n">
        <v>-43066.66666666667</v>
      </c>
      <c r="K58" s="4" t="n">
        <v>-58667.0720911114</v>
      </c>
      <c r="L58" s="4" t="n">
        <v>258400</v>
      </c>
      <c r="M58" s="4" t="n">
        <v>120586.6666666667</v>
      </c>
      <c r="N58" s="4" t="n">
        <v>610340.0127787197</v>
      </c>
      <c r="O58" s="4" t="n">
        <v>873917.5101320526</v>
      </c>
      <c r="P58" s="4" t="n">
        <v>-3241717.842284692</v>
      </c>
    </row>
    <row r="59">
      <c r="A59" t="inlineStr">
        <is>
          <t>2030-10</t>
        </is>
      </c>
      <c r="B59" s="4" t="n">
        <v>0</v>
      </c>
      <c r="C59" s="4" t="n">
        <v>0</v>
      </c>
      <c r="D59" s="4" t="n">
        <v>0</v>
      </c>
      <c r="E59" s="4" t="n">
        <v>0</v>
      </c>
      <c r="F59" s="4" t="n">
        <v>0</v>
      </c>
      <c r="G59" s="4" t="n">
        <v>-7334</v>
      </c>
      <c r="H59" s="4" t="n">
        <v>-338.6666666666648</v>
      </c>
      <c r="I59" s="4" t="n">
        <v>-164.9537037037028</v>
      </c>
      <c r="J59" s="4" t="n">
        <v>-24446.66666666667</v>
      </c>
      <c r="K59" s="4" t="n">
        <v>-49658.75814992089</v>
      </c>
      <c r="L59" s="4" t="n">
        <v>146680</v>
      </c>
      <c r="M59" s="4" t="n">
        <v>68450.66666666667</v>
      </c>
      <c r="N59" s="4" t="n">
        <v>622285.153736721</v>
      </c>
      <c r="O59" s="4" t="n">
        <v>755472.7752164298</v>
      </c>
      <c r="P59" s="4" t="n">
        <v>-2486245.067068262</v>
      </c>
    </row>
    <row r="60">
      <c r="A60" t="inlineStr">
        <is>
          <t>2030-11</t>
        </is>
      </c>
      <c r="B60" s="4" t="n">
        <v>0</v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-7334</v>
      </c>
      <c r="H60" s="4" t="n">
        <v>-169.3333333333314</v>
      </c>
      <c r="I60" s="4" t="n">
        <v>-82.47685185185091</v>
      </c>
      <c r="J60" s="4" t="n">
        <v>-24446.66666666667</v>
      </c>
      <c r="K60" s="4" t="n">
        <v>-50122.04552551237</v>
      </c>
      <c r="L60" s="4" t="n">
        <v>146680</v>
      </c>
      <c r="M60" s="4" t="n">
        <v>68450.66666666667</v>
      </c>
      <c r="N60" s="4" t="n">
        <v>630097.7570350597</v>
      </c>
      <c r="O60" s="4" t="n">
        <v>763073.9013243621</v>
      </c>
      <c r="P60" s="4" t="n">
        <v>-1723171.1657439</v>
      </c>
    </row>
    <row r="61">
      <c r="A61" t="inlineStr">
        <is>
          <t>2030-12</t>
        </is>
      </c>
      <c r="B61" s="4" t="n">
        <v>0</v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-7334</v>
      </c>
      <c r="H61" s="4" t="n">
        <v>0</v>
      </c>
      <c r="I61" s="4" t="n">
        <v>0</v>
      </c>
      <c r="J61" s="4" t="n">
        <v>-24446.66666666667</v>
      </c>
      <c r="K61" s="4" t="n">
        <v>-50585.33290110384</v>
      </c>
      <c r="L61" s="4" t="n">
        <v>146680</v>
      </c>
      <c r="M61" s="4" t="n">
        <v>68450.66666666667</v>
      </c>
      <c r="N61" s="4" t="n">
        <v>637910.3603333982</v>
      </c>
      <c r="O61" s="4" t="n">
        <v>770675.0274322943</v>
      </c>
      <c r="P61" s="4" t="n">
        <v>-952496.1383116052</v>
      </c>
    </row>
    <row r="62">
      <c r="A62" t="inlineStr">
        <is>
          <t>2031-01</t>
        </is>
      </c>
      <c r="B62" s="4" t="n">
        <v>0</v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-38291.37174336199</v>
      </c>
      <c r="L62" s="4" t="n">
        <v>0</v>
      </c>
      <c r="M62" s="4" t="n">
        <v>0</v>
      </c>
      <c r="N62" s="4" t="n">
        <v>645722.9636317368</v>
      </c>
      <c r="O62" s="4" t="n">
        <v>607431.5918883749</v>
      </c>
      <c r="P62" s="4" t="n">
        <v>-345064.5464232303</v>
      </c>
    </row>
    <row r="63">
      <c r="A63" t="inlineStr">
        <is>
          <t>2031-02</t>
        </is>
      </c>
      <c r="B63" s="4" t="n">
        <v>0</v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-38432.91435527267</v>
      </c>
      <c r="L63" s="4" t="n">
        <v>0</v>
      </c>
      <c r="M63" s="4" t="n">
        <v>0</v>
      </c>
      <c r="N63" s="4" t="n">
        <v>648109.8542204498</v>
      </c>
      <c r="O63" s="4" t="n">
        <v>609676.9398651771</v>
      </c>
      <c r="P63" s="4" t="n">
        <v>264612.3934419468</v>
      </c>
    </row>
    <row r="64">
      <c r="A64" t="inlineStr">
        <is>
          <t>2031-03</t>
        </is>
      </c>
      <c r="B64" s="4" t="n">
        <v>0</v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-38574.45696718335</v>
      </c>
      <c r="L64" s="4" t="n">
        <v>0</v>
      </c>
      <c r="M64" s="4" t="n">
        <v>0</v>
      </c>
      <c r="N64" s="4" t="n">
        <v>650496.7448091628</v>
      </c>
      <c r="O64" s="4" t="n">
        <v>611922.2878419794</v>
      </c>
      <c r="P64" s="4" t="n">
        <v>876534.6812839262</v>
      </c>
    </row>
    <row r="65">
      <c r="A65" t="inlineStr">
        <is>
          <t>2031-04</t>
        </is>
      </c>
      <c r="B65" s="4" t="n">
        <v>0</v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-38717.04769718123</v>
      </c>
      <c r="L65" s="4" t="n">
        <v>0</v>
      </c>
      <c r="M65" s="4" t="n">
        <v>0</v>
      </c>
      <c r="N65" s="4" t="n">
        <v>652901.3102391439</v>
      </c>
      <c r="O65" s="4" t="n">
        <v>614184.2625419628</v>
      </c>
      <c r="P65" s="4" t="n">
        <v>1490718.943825889</v>
      </c>
    </row>
    <row r="66">
      <c r="A66" t="inlineStr">
        <is>
          <t>2031-05</t>
        </is>
      </c>
      <c r="B66" s="4" t="n">
        <v>0</v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-38859.63842717912</v>
      </c>
      <c r="L66" s="4" t="n">
        <v>0</v>
      </c>
      <c r="M66" s="4" t="n">
        <v>0</v>
      </c>
      <c r="N66" s="4" t="n">
        <v>655305.8756691251</v>
      </c>
      <c r="O66" s="4" t="n">
        <v>616446.237241946</v>
      </c>
      <c r="P66" s="4" t="n">
        <v>2107165.181067835</v>
      </c>
    </row>
    <row r="67">
      <c r="A67" t="inlineStr">
        <is>
          <t>2031-06</t>
        </is>
      </c>
      <c r="B67" s="4" t="n">
        <v>0</v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-39002.229157177</v>
      </c>
      <c r="L67" s="4" t="n">
        <v>0</v>
      </c>
      <c r="M67" s="4" t="n">
        <v>0</v>
      </c>
      <c r="N67" s="4" t="n">
        <v>657710.4410991063</v>
      </c>
      <c r="O67" s="4" t="n">
        <v>618708.2119419293</v>
      </c>
      <c r="P67" s="4" t="n">
        <v>2725873.393009764</v>
      </c>
    </row>
    <row r="68">
      <c r="A68" t="inlineStr">
        <is>
          <t>2031-07</t>
        </is>
      </c>
      <c r="B68" s="4" t="n">
        <v>0</v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-39144.81988717489</v>
      </c>
      <c r="L68" s="4" t="n">
        <v>0</v>
      </c>
      <c r="M68" s="4" t="n">
        <v>0</v>
      </c>
      <c r="N68" s="4" t="n">
        <v>660115.0065290876</v>
      </c>
      <c r="O68" s="4" t="n">
        <v>620970.1866419126</v>
      </c>
      <c r="P68" s="4" t="n">
        <v>3346843.579651677</v>
      </c>
    </row>
    <row r="69">
      <c r="A69" t="inlineStr">
        <is>
          <t>2031-08</t>
        </is>
      </c>
      <c r="B69" s="4" t="n">
        <v>0</v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-39288.94522412991</v>
      </c>
      <c r="L69" s="4" t="n">
        <v>0</v>
      </c>
      <c r="M69" s="4" t="n">
        <v>0</v>
      </c>
      <c r="N69" s="4" t="n">
        <v>662545.4506598635</v>
      </c>
      <c r="O69" s="4" t="n">
        <v>623256.5054357336</v>
      </c>
      <c r="P69" s="4" t="n">
        <v>3970100.08508741</v>
      </c>
    </row>
    <row r="70">
      <c r="A70" t="inlineStr">
        <is>
          <t>2031-09</t>
        </is>
      </c>
      <c r="B70" s="4" t="n">
        <v>0</v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-39433.07056108493</v>
      </c>
      <c r="L70" s="4" t="n">
        <v>0</v>
      </c>
      <c r="M70" s="4" t="n">
        <v>0</v>
      </c>
      <c r="N70" s="4" t="n">
        <v>664975.8947906396</v>
      </c>
      <c r="O70" s="4" t="n">
        <v>625542.8242295546</v>
      </c>
      <c r="P70" s="4" t="n">
        <v>4595642.909316964</v>
      </c>
    </row>
    <row r="71">
      <c r="A71" t="inlineStr">
        <is>
          <t>2031-10</t>
        </is>
      </c>
      <c r="B71" s="4" t="n">
        <v>0</v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-39577.19589803995</v>
      </c>
      <c r="L71" s="4" t="n">
        <v>0</v>
      </c>
      <c r="M71" s="4" t="n">
        <v>0</v>
      </c>
      <c r="N71" s="4" t="n">
        <v>667406.3389214156</v>
      </c>
      <c r="O71" s="4" t="n">
        <v>627829.1430233757</v>
      </c>
      <c r="P71" s="4" t="n">
        <v>5223472.05234034</v>
      </c>
    </row>
    <row r="72">
      <c r="A72" t="inlineStr">
        <is>
          <t>2031-11</t>
        </is>
      </c>
      <c r="B72" s="4" t="n">
        <v>0</v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-39722.95842263105</v>
      </c>
      <c r="L72" s="4" t="n">
        <v>0</v>
      </c>
      <c r="M72" s="4" t="n">
        <v>0</v>
      </c>
      <c r="N72" s="4" t="n">
        <v>669864.3916126654</v>
      </c>
      <c r="O72" s="4" t="n">
        <v>630141.4331900344</v>
      </c>
      <c r="P72" s="4" t="n">
        <v>5853613.485530375</v>
      </c>
    </row>
    <row r="73">
      <c r="A73" t="inlineStr">
        <is>
          <t>2031-12</t>
        </is>
      </c>
      <c r="B73" s="4" t="n">
        <v>0</v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-39868.72094722217</v>
      </c>
      <c r="L73" s="4" t="n">
        <v>0</v>
      </c>
      <c r="M73" s="4" t="n">
        <v>0</v>
      </c>
      <c r="N73" s="4" t="n">
        <v>672322.4443039151</v>
      </c>
      <c r="O73" s="4" t="n">
        <v>632453.7233566929</v>
      </c>
      <c r="P73" s="4" t="n">
        <v>6486067.208887068</v>
      </c>
    </row>
    <row r="74">
      <c r="A74" t="inlineStr">
        <is>
          <t>2032-01</t>
        </is>
      </c>
      <c r="B74" s="4" t="n">
        <v>0</v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-40014.48347181328</v>
      </c>
      <c r="L74" s="4" t="n">
        <v>0</v>
      </c>
      <c r="M74" s="4" t="n">
        <v>0</v>
      </c>
      <c r="N74" s="4" t="n">
        <v>674780.4969951649</v>
      </c>
      <c r="O74" s="4" t="n">
        <v>634766.0135233516</v>
      </c>
      <c r="P74" s="4" t="n">
        <v>7120833.222410419</v>
      </c>
    </row>
    <row r="75">
      <c r="A75" t="inlineStr">
        <is>
          <t>2032-02</t>
        </is>
      </c>
      <c r="B75" s="4" t="n">
        <v>0</v>
      </c>
      <c r="C75" s="4" t="n">
        <v>0</v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-40162.39550125993</v>
      </c>
      <c r="L75" s="4" t="n">
        <v>0</v>
      </c>
      <c r="M75" s="4" t="n">
        <v>0</v>
      </c>
      <c r="N75" s="4" t="n">
        <v>677274.7976603699</v>
      </c>
      <c r="O75" s="4" t="n">
        <v>637112.4021591101</v>
      </c>
      <c r="P75" s="4" t="n">
        <v>7757945.624569529</v>
      </c>
    </row>
    <row r="76">
      <c r="A76" t="inlineStr">
        <is>
          <t>2032-03</t>
        </is>
      </c>
      <c r="B76" s="4" t="n">
        <v>0</v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-40310.3075307066</v>
      </c>
      <c r="L76" s="4" t="n">
        <v>0</v>
      </c>
      <c r="M76" s="4" t="n">
        <v>0</v>
      </c>
      <c r="N76" s="4" t="n">
        <v>679769.098325575</v>
      </c>
      <c r="O76" s="4" t="n">
        <v>639458.7907948685</v>
      </c>
      <c r="P76" s="4" t="n">
        <v>8397404.415364398</v>
      </c>
    </row>
    <row r="77">
      <c r="A77" t="inlineStr">
        <is>
          <t>2032-04</t>
        </is>
      </c>
      <c r="B77" s="4" t="n">
        <v>0</v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-40253.70274743555</v>
      </c>
      <c r="L77" s="4" t="n">
        <v>0</v>
      </c>
      <c r="M77" s="4" t="n">
        <v>0</v>
      </c>
      <c r="N77" s="4" t="n">
        <v>678814.5488606333</v>
      </c>
      <c r="O77" s="4" t="n">
        <v>638560.8461131977</v>
      </c>
      <c r="P77" s="4" t="n">
        <v>9035965.261477595</v>
      </c>
    </row>
    <row r="78">
      <c r="A78" t="inlineStr">
        <is>
          <t>2032-05</t>
        </is>
      </c>
      <c r="B78" s="4" t="n">
        <v>0</v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-40197.09796416451</v>
      </c>
      <c r="L78" s="4" t="n">
        <v>0</v>
      </c>
      <c r="M78" s="4" t="n">
        <v>0</v>
      </c>
      <c r="N78" s="4" t="n">
        <v>677859.9993956916</v>
      </c>
      <c r="O78" s="4" t="n">
        <v>637662.901431527</v>
      </c>
      <c r="P78" s="4" t="n">
        <v>9673628.162909122</v>
      </c>
    </row>
    <row r="79">
      <c r="A79" t="inlineStr">
        <is>
          <t>2032-06</t>
        </is>
      </c>
      <c r="B79" s="4" t="n">
        <v>0</v>
      </c>
      <c r="C79" s="4" t="n">
        <v>0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-40140.49318089346</v>
      </c>
      <c r="L79" s="4" t="n">
        <v>0</v>
      </c>
      <c r="M79" s="4" t="n">
        <v>0</v>
      </c>
      <c r="N79" s="4" t="n">
        <v>676905.4499307496</v>
      </c>
      <c r="O79" s="4" t="n">
        <v>636764.9567498562</v>
      </c>
      <c r="P79" s="4" t="n">
        <v>10310393.11965898</v>
      </c>
    </row>
    <row r="80">
      <c r="A80" t="inlineStr">
        <is>
          <t>2032-07</t>
        </is>
      </c>
      <c r="B80" s="4" t="n">
        <v>0</v>
      </c>
      <c r="C80" s="4" t="n">
        <v>0</v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-40083.88839762242</v>
      </c>
      <c r="L80" s="4" t="n">
        <v>0</v>
      </c>
      <c r="M80" s="4" t="n">
        <v>0</v>
      </c>
      <c r="N80" s="4" t="n">
        <v>675950.900465808</v>
      </c>
      <c r="O80" s="4" t="n">
        <v>635867.0120681856</v>
      </c>
      <c r="P80" s="4" t="n">
        <v>10946260.13172716</v>
      </c>
    </row>
    <row r="81">
      <c r="A81" t="inlineStr">
        <is>
          <t>2032-08</t>
        </is>
      </c>
      <c r="B81" s="4" t="n">
        <v>0</v>
      </c>
      <c r="C81" s="4" t="n">
        <v>0</v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-39727.83937473729</v>
      </c>
      <c r="L81" s="4" t="n">
        <v>0</v>
      </c>
      <c r="M81" s="4" t="n">
        <v>0</v>
      </c>
      <c r="N81" s="4" t="n">
        <v>669946.7010916913</v>
      </c>
      <c r="O81" s="4" t="n">
        <v>630218.8617169539</v>
      </c>
      <c r="P81" s="4" t="n">
        <v>11576478.99344412</v>
      </c>
    </row>
    <row r="82">
      <c r="A82" t="inlineStr">
        <is>
          <t>2032-09</t>
        </is>
      </c>
      <c r="B82" s="4" t="n">
        <v>0</v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-39371.79035185216</v>
      </c>
      <c r="L82" s="4" t="n">
        <v>0</v>
      </c>
      <c r="M82" s="4" t="n">
        <v>0</v>
      </c>
      <c r="N82" s="4" t="n">
        <v>663942.5017175744</v>
      </c>
      <c r="O82" s="4" t="n">
        <v>624570.7113657222</v>
      </c>
      <c r="P82" s="4" t="n">
        <v>12201049.70480984</v>
      </c>
    </row>
    <row r="83">
      <c r="A83" t="inlineStr">
        <is>
          <t>2032-10</t>
        </is>
      </c>
      <c r="B83" s="4" t="n">
        <v>0</v>
      </c>
      <c r="C83" s="4" t="n">
        <v>0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-39015.74132896704</v>
      </c>
      <c r="L83" s="4" t="n">
        <v>0</v>
      </c>
      <c r="M83" s="4" t="n">
        <v>0</v>
      </c>
      <c r="N83" s="4" t="n">
        <v>657938.3023434576</v>
      </c>
      <c r="O83" s="4" t="n">
        <v>618922.5610144906</v>
      </c>
      <c r="P83" s="4" t="n">
        <v>12819972.26582433</v>
      </c>
    </row>
    <row r="84">
      <c r="A84" t="inlineStr">
        <is>
          <t>2032-11</t>
        </is>
      </c>
      <c r="B84" s="4" t="n">
        <v>0</v>
      </c>
      <c r="C84" s="4" t="n">
        <v>0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-38340.23174029042</v>
      </c>
      <c r="L84" s="4" t="n">
        <v>0</v>
      </c>
      <c r="M84" s="4" t="n">
        <v>0</v>
      </c>
      <c r="N84" s="4" t="n">
        <v>646546.9096170391</v>
      </c>
      <c r="O84" s="4" t="n">
        <v>608206.6778767486</v>
      </c>
      <c r="P84" s="4" t="n">
        <v>13428178.94370108</v>
      </c>
    </row>
    <row r="85">
      <c r="A85" t="inlineStr">
        <is>
          <t>2032-12</t>
        </is>
      </c>
      <c r="B85" s="4" t="n">
        <v>0</v>
      </c>
      <c r="C85" s="4" t="n">
        <v>0</v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0</v>
      </c>
      <c r="J85" s="4" t="n">
        <v>0</v>
      </c>
      <c r="K85" s="4" t="n">
        <v>-37664.7221516138</v>
      </c>
      <c r="L85" s="4" t="n">
        <v>0</v>
      </c>
      <c r="M85" s="4" t="n">
        <v>0</v>
      </c>
      <c r="N85" s="4" t="n">
        <v>635155.5168906206</v>
      </c>
      <c r="O85" s="4" t="n">
        <v>597490.7947390068</v>
      </c>
      <c r="P85" s="4" t="n">
        <v>14025669.73844009</v>
      </c>
    </row>
    <row r="86">
      <c r="A86" t="inlineStr">
        <is>
          <t>2033-01</t>
        </is>
      </c>
      <c r="B86" s="4" t="n">
        <v>0</v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-36989.21256293718</v>
      </c>
      <c r="L86" s="4" t="n">
        <v>0</v>
      </c>
      <c r="M86" s="4" t="n">
        <v>0</v>
      </c>
      <c r="N86" s="4" t="n">
        <v>623764.124164202</v>
      </c>
      <c r="O86" s="4" t="n">
        <v>586774.911601265</v>
      </c>
      <c r="P86" s="4" t="n">
        <v>14612444.65004135</v>
      </c>
    </row>
    <row r="87">
      <c r="A87" t="inlineStr">
        <is>
          <t>2033-02</t>
        </is>
      </c>
      <c r="B87" s="4" t="n">
        <v>0</v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-35894.27515658874</v>
      </c>
      <c r="L87" s="4" t="n">
        <v>0</v>
      </c>
      <c r="M87" s="4" t="n">
        <v>0</v>
      </c>
      <c r="N87" s="4" t="n">
        <v>605299.7496895235</v>
      </c>
      <c r="O87" s="4" t="n">
        <v>569405.4745329348</v>
      </c>
      <c r="P87" s="4" t="n">
        <v>15181850.12457429</v>
      </c>
    </row>
    <row r="88">
      <c r="A88" t="inlineStr">
        <is>
          <t>2033-03</t>
        </is>
      </c>
      <c r="B88" s="4" t="n">
        <v>0</v>
      </c>
      <c r="C88" s="4" t="n">
        <v>0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-34799.3377502403</v>
      </c>
      <c r="L88" s="4" t="n">
        <v>0</v>
      </c>
      <c r="M88" s="4" t="n">
        <v>0</v>
      </c>
      <c r="N88" s="4" t="n">
        <v>586835.3752148449</v>
      </c>
      <c r="O88" s="4" t="n">
        <v>552036.0374646046</v>
      </c>
      <c r="P88" s="4" t="n">
        <v>15733886.16203889</v>
      </c>
    </row>
    <row r="89">
      <c r="A89" t="inlineStr">
        <is>
          <t>2033-04</t>
        </is>
      </c>
      <c r="B89" s="4" t="n">
        <v>0</v>
      </c>
      <c r="C89" s="4" t="n">
        <v>0</v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-33696.29237072069</v>
      </c>
      <c r="L89" s="4" t="n">
        <v>0</v>
      </c>
      <c r="M89" s="4" t="n">
        <v>0</v>
      </c>
      <c r="N89" s="4" t="n">
        <v>568234.2726934348</v>
      </c>
      <c r="O89" s="4" t="n">
        <v>534537.9803227142</v>
      </c>
      <c r="P89" s="4" t="n">
        <v>16268424.1423616</v>
      </c>
    </row>
    <row r="90">
      <c r="A90" t="inlineStr">
        <is>
          <t>2033-05</t>
        </is>
      </c>
      <c r="B90" s="4" t="n">
        <v>0</v>
      </c>
      <c r="C90" s="4" t="n">
        <v>0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-32593.24699120108</v>
      </c>
      <c r="L90" s="4" t="n">
        <v>0</v>
      </c>
      <c r="M90" s="4" t="n">
        <v>0</v>
      </c>
      <c r="N90" s="4" t="n">
        <v>549633.170172025</v>
      </c>
      <c r="O90" s="4" t="n">
        <v>517039.9231808239</v>
      </c>
      <c r="P90" s="4" t="n">
        <v>16785464.06554243</v>
      </c>
    </row>
    <row r="91">
      <c r="A91" t="inlineStr">
        <is>
          <t>2033-06</t>
        </is>
      </c>
      <c r="B91" s="4" t="n">
        <v>0</v>
      </c>
      <c r="C91" s="4" t="n">
        <v>0</v>
      </c>
      <c r="D91" s="4" t="n">
        <v>0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-31490.20161168146</v>
      </c>
      <c r="L91" s="4" t="n">
        <v>0</v>
      </c>
      <c r="M91" s="4" t="n">
        <v>0</v>
      </c>
      <c r="N91" s="4" t="n">
        <v>531032.067650615</v>
      </c>
      <c r="O91" s="4" t="n">
        <v>499541.8660389335</v>
      </c>
      <c r="P91" s="4" t="n">
        <v>17285005.93158136</v>
      </c>
    </row>
    <row r="92">
      <c r="A92" t="inlineStr">
        <is>
          <t>2033-07</t>
        </is>
      </c>
      <c r="B92" s="4" t="n">
        <v>0</v>
      </c>
      <c r="C92" s="4" t="n">
        <v>0</v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-30387.15623216185</v>
      </c>
      <c r="L92" s="4" t="n">
        <v>0</v>
      </c>
      <c r="M92" s="4" t="n">
        <v>0</v>
      </c>
      <c r="N92" s="4" t="n">
        <v>512430.965129205</v>
      </c>
      <c r="O92" s="4" t="n">
        <v>482043.8088970431</v>
      </c>
      <c r="P92" s="4" t="n">
        <v>17767049.7404784</v>
      </c>
    </row>
    <row r="93">
      <c r="A93" t="inlineStr">
        <is>
          <t>2033-08</t>
        </is>
      </c>
      <c r="B93" s="4" t="n">
        <v>0</v>
      </c>
      <c r="C93" s="4" t="n">
        <v>0</v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-29272.23952612982</v>
      </c>
      <c r="L93" s="4" t="n">
        <v>0</v>
      </c>
      <c r="M93" s="4" t="n">
        <v>0</v>
      </c>
      <c r="N93" s="4" t="n">
        <v>493629.6716042128</v>
      </c>
      <c r="O93" s="4" t="n">
        <v>464357.4320780829</v>
      </c>
      <c r="P93" s="4" t="n">
        <v>18231407.17255649</v>
      </c>
    </row>
    <row r="94">
      <c r="A94" t="inlineStr">
        <is>
          <t>2033-09</t>
        </is>
      </c>
      <c r="B94" s="4" t="n">
        <v>0</v>
      </c>
      <c r="C94" s="4" t="n">
        <v>0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-28157.32282009778</v>
      </c>
      <c r="L94" s="4" t="n">
        <v>0</v>
      </c>
      <c r="M94" s="4" t="n">
        <v>0</v>
      </c>
      <c r="N94" s="4" t="n">
        <v>474828.3780792207</v>
      </c>
      <c r="O94" s="4" t="n">
        <v>446671.0552591229</v>
      </c>
      <c r="P94" s="4" t="n">
        <v>18678078.22781561</v>
      </c>
    </row>
    <row r="95">
      <c r="A95" t="inlineStr">
        <is>
          <t>2033-10</t>
        </is>
      </c>
      <c r="B95" s="4" t="n">
        <v>0</v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-27042.40611406575</v>
      </c>
      <c r="L95" s="4" t="n">
        <v>0</v>
      </c>
      <c r="M95" s="4" t="n">
        <v>0</v>
      </c>
      <c r="N95" s="4" t="n">
        <v>456027.0845542285</v>
      </c>
      <c r="O95" s="4" t="n">
        <v>428984.6784401627</v>
      </c>
      <c r="P95" s="4" t="n">
        <v>19107062.90625577</v>
      </c>
    </row>
    <row r="96">
      <c r="A96" t="inlineStr">
        <is>
          <t>2033-11</t>
        </is>
      </c>
      <c r="B96" s="4" t="n">
        <v>0</v>
      </c>
      <c r="C96" s="4" t="n">
        <v>0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-25914.82454365281</v>
      </c>
      <c r="L96" s="4" t="n">
        <v>0</v>
      </c>
      <c r="M96" s="4" t="n">
        <v>0</v>
      </c>
      <c r="N96" s="4" t="n">
        <v>437012.2182740777</v>
      </c>
      <c r="O96" s="4" t="n">
        <v>411097.3937304249</v>
      </c>
      <c r="P96" s="4" t="n">
        <v>19518160.29998619</v>
      </c>
    </row>
    <row r="97">
      <c r="A97" t="inlineStr">
        <is>
          <t>2033-12</t>
        </is>
      </c>
      <c r="B97" s="4" t="n">
        <v>0</v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-24787.24297323987</v>
      </c>
      <c r="L97" s="4" t="n">
        <v>0</v>
      </c>
      <c r="M97" s="4" t="n">
        <v>0</v>
      </c>
      <c r="N97" s="4" t="n">
        <v>417997.351993927</v>
      </c>
      <c r="O97" s="4" t="n">
        <v>393210.1090206872</v>
      </c>
      <c r="P97" s="4" t="n">
        <v>19911370.40900688</v>
      </c>
    </row>
    <row r="98">
      <c r="A98" t="inlineStr">
        <is>
          <t>2034-01</t>
        </is>
      </c>
      <c r="B98" s="4" t="n">
        <v>0</v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-23659.66140282693</v>
      </c>
      <c r="L98" s="4" t="n">
        <v>0</v>
      </c>
      <c r="M98" s="4" t="n">
        <v>0</v>
      </c>
      <c r="N98" s="4" t="n">
        <v>398982.4857137763</v>
      </c>
      <c r="O98" s="4" t="n">
        <v>375322.8243109493</v>
      </c>
      <c r="P98" s="4" t="n">
        <v>20286693.23331783</v>
      </c>
    </row>
    <row r="99">
      <c r="A99" t="inlineStr">
        <is>
          <t>2034-02</t>
        </is>
      </c>
      <c r="B99" s="4" t="n">
        <v>0</v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-22515.45181319281</v>
      </c>
      <c r="L99" s="4" t="n">
        <v>0</v>
      </c>
      <c r="M99" s="4" t="n">
        <v>0</v>
      </c>
      <c r="N99" s="4" t="n">
        <v>379687.2143877371</v>
      </c>
      <c r="O99" s="4" t="n">
        <v>357171.7625745443</v>
      </c>
      <c r="P99" s="4" t="n">
        <v>20643864.99589238</v>
      </c>
    </row>
    <row r="100">
      <c r="A100" t="inlineStr">
        <is>
          <t>2034-03</t>
        </is>
      </c>
      <c r="B100" s="4" t="n">
        <v>0</v>
      </c>
      <c r="C100" s="4" t="n">
        <v>0</v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-21371.24222355869</v>
      </c>
      <c r="L100" s="4" t="n">
        <v>0</v>
      </c>
      <c r="M100" s="4" t="n">
        <v>0</v>
      </c>
      <c r="N100" s="4" t="n">
        <v>360391.9430616979</v>
      </c>
      <c r="O100" s="4" t="n">
        <v>339020.7008381393</v>
      </c>
      <c r="P100" s="4" t="n">
        <v>20982885.69673052</v>
      </c>
    </row>
    <row r="101">
      <c r="A101" t="inlineStr">
        <is>
          <t>2034-04</t>
        </is>
      </c>
      <c r="B101" s="4" t="n">
        <v>0</v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-20218.55980196069</v>
      </c>
      <c r="L101" s="4" t="n">
        <v>0</v>
      </c>
      <c r="M101" s="4" t="n">
        <v>0</v>
      </c>
      <c r="N101" s="4" t="n">
        <v>340953.7909268245</v>
      </c>
      <c r="O101" s="4" t="n">
        <v>320735.2311248638</v>
      </c>
      <c r="P101" s="4" t="n">
        <v>21303620.92785538</v>
      </c>
    </row>
    <row r="102">
      <c r="A102" t="inlineStr">
        <is>
          <t>2034-05</t>
        </is>
      </c>
      <c r="B102" s="4" t="n">
        <v>0</v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-19065.8773803627</v>
      </c>
      <c r="L102" s="4" t="n">
        <v>0</v>
      </c>
      <c r="M102" s="4" t="n">
        <v>0</v>
      </c>
      <c r="N102" s="4" t="n">
        <v>321515.6387919511</v>
      </c>
      <c r="O102" s="4" t="n">
        <v>302449.7614115883</v>
      </c>
      <c r="P102" s="4" t="n">
        <v>21606070.68926697</v>
      </c>
    </row>
    <row r="103">
      <c r="A103" t="inlineStr">
        <is>
          <t>2034-06</t>
        </is>
      </c>
      <c r="B103" s="4" t="n">
        <v>0</v>
      </c>
      <c r="C103" s="4" t="n">
        <v>0</v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-17913.1949587647</v>
      </c>
      <c r="L103" s="4" t="n">
        <v>0</v>
      </c>
      <c r="M103" s="4" t="n">
        <v>0</v>
      </c>
      <c r="N103" s="4" t="n">
        <v>302077.4866570776</v>
      </c>
      <c r="O103" s="4" t="n">
        <v>284164.2916983129</v>
      </c>
      <c r="P103" s="4" t="n">
        <v>21890234.98096528</v>
      </c>
    </row>
    <row r="104">
      <c r="A104" t="inlineStr">
        <is>
          <t>2034-07</t>
        </is>
      </c>
      <c r="B104" s="4" t="n">
        <v>0</v>
      </c>
      <c r="C104" s="4" t="n">
        <v>0</v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</v>
      </c>
      <c r="I104" s="4" t="n">
        <v>0</v>
      </c>
      <c r="J104" s="4" t="n">
        <v>0</v>
      </c>
      <c r="K104" s="4" t="n">
        <v>-16760.51253716671</v>
      </c>
      <c r="L104" s="4" t="n">
        <v>0</v>
      </c>
      <c r="M104" s="4" t="n">
        <v>0</v>
      </c>
      <c r="N104" s="4" t="n">
        <v>282639.3345222042</v>
      </c>
      <c r="O104" s="4" t="n">
        <v>265878.8219850375</v>
      </c>
      <c r="P104" s="4" t="n">
        <v>22156113.80295032</v>
      </c>
    </row>
    <row r="105">
      <c r="A105" t="inlineStr">
        <is>
          <t>2034-08</t>
        </is>
      </c>
      <c r="B105" s="4" t="n">
        <v>0</v>
      </c>
      <c r="C105" s="4" t="n">
        <v>0</v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0</v>
      </c>
      <c r="J105" s="4" t="n">
        <v>0</v>
      </c>
      <c r="K105" s="4" t="n">
        <v>-15595.42457936323</v>
      </c>
      <c r="L105" s="4" t="n">
        <v>0</v>
      </c>
      <c r="M105" s="4" t="n">
        <v>0</v>
      </c>
      <c r="N105" s="4" t="n">
        <v>262991.9827885873</v>
      </c>
      <c r="O105" s="4" t="n">
        <v>247396.5582092241</v>
      </c>
      <c r="P105" s="4" t="n">
        <v>22403510.36115954</v>
      </c>
    </row>
    <row r="106">
      <c r="A106" t="inlineStr">
        <is>
          <t>2034-09</t>
        </is>
      </c>
      <c r="B106" s="4" t="n">
        <v>0</v>
      </c>
      <c r="C106" s="4" t="n">
        <v>0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-14430.33662155975</v>
      </c>
      <c r="L106" s="4" t="n">
        <v>0</v>
      </c>
      <c r="M106" s="4" t="n">
        <v>0</v>
      </c>
      <c r="N106" s="4" t="n">
        <v>243344.6310549705</v>
      </c>
      <c r="O106" s="4" t="n">
        <v>228914.2944334107</v>
      </c>
      <c r="P106" s="4" t="n">
        <v>22632424.65559296</v>
      </c>
    </row>
    <row r="107">
      <c r="A107" t="inlineStr">
        <is>
          <t>2034-10</t>
        </is>
      </c>
      <c r="B107" s="4" t="n">
        <v>0</v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-13265.24866375627</v>
      </c>
      <c r="L107" s="4" t="n">
        <v>0</v>
      </c>
      <c r="M107" s="4" t="n">
        <v>0</v>
      </c>
      <c r="N107" s="4" t="n">
        <v>223697.2793213537</v>
      </c>
      <c r="O107" s="4" t="n">
        <v>210432.0306575974</v>
      </c>
      <c r="P107" s="4" t="n">
        <v>22842856.68625055</v>
      </c>
    </row>
    <row r="108">
      <c r="A108" t="inlineStr">
        <is>
          <t>2034-11</t>
        </is>
      </c>
      <c r="B108" s="4" t="n">
        <v>0</v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-12086.92592267475</v>
      </c>
      <c r="L108" s="4" t="n">
        <v>0</v>
      </c>
      <c r="M108" s="4" t="n">
        <v>0</v>
      </c>
      <c r="N108" s="4" t="n">
        <v>203826.7440585961</v>
      </c>
      <c r="O108" s="4" t="n">
        <v>191739.8181359214</v>
      </c>
      <c r="P108" s="4" t="n">
        <v>23034596.50438647</v>
      </c>
    </row>
    <row r="109">
      <c r="A109" t="inlineStr">
        <is>
          <t>2034-12</t>
        </is>
      </c>
      <c r="B109" s="4" t="n">
        <v>0</v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-10908.60318159323</v>
      </c>
      <c r="L109" s="4" t="n">
        <v>0</v>
      </c>
      <c r="M109" s="4" t="n">
        <v>0</v>
      </c>
      <c r="N109" s="4" t="n">
        <v>183956.2087958386</v>
      </c>
      <c r="O109" s="4" t="n">
        <v>173047.6056142454</v>
      </c>
      <c r="P109" s="4" t="n">
        <v>23207644.11000072</v>
      </c>
    </row>
    <row r="110">
      <c r="A110" t="inlineStr">
        <is>
          <t>2035-01</t>
        </is>
      </c>
      <c r="B110" s="4" t="n">
        <v>0</v>
      </c>
      <c r="C110" s="4" t="n">
        <v>0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-9730.280440511709</v>
      </c>
      <c r="L110" s="4" t="n">
        <v>0</v>
      </c>
      <c r="M110" s="4" t="n">
        <v>0</v>
      </c>
      <c r="N110" s="4" t="n">
        <v>164085.6735330811</v>
      </c>
      <c r="O110" s="4" t="n">
        <v>154355.3930925694</v>
      </c>
      <c r="P110" s="4" t="n">
        <v>23361999.50309329</v>
      </c>
    </row>
    <row r="111">
      <c r="A111" t="inlineStr">
        <is>
          <t>2035-02</t>
        </is>
      </c>
      <c r="B111" s="4" t="n">
        <v>0</v>
      </c>
      <c r="C111" s="4" t="n">
        <v>0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-8534.581419344053</v>
      </c>
      <c r="L111" s="4" t="n">
        <v>0</v>
      </c>
      <c r="M111" s="4" t="n">
        <v>0</v>
      </c>
      <c r="N111" s="4" t="n">
        <v>143922.1149973702</v>
      </c>
      <c r="O111" s="4" t="n">
        <v>135387.5335780261</v>
      </c>
      <c r="P111" s="4" t="n">
        <v>23497387.03667131</v>
      </c>
    </row>
    <row r="112">
      <c r="A112" t="inlineStr">
        <is>
          <t>2035-03</t>
        </is>
      </c>
      <c r="B112" s="4" t="n">
        <v>0</v>
      </c>
      <c r="C112" s="4" t="n">
        <v>0</v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0</v>
      </c>
      <c r="J112" s="4" t="n">
        <v>0</v>
      </c>
      <c r="K112" s="4" t="n">
        <v>-7338.882398176394</v>
      </c>
      <c r="L112" s="4" t="n">
        <v>0</v>
      </c>
      <c r="M112" s="4" t="n">
        <v>0</v>
      </c>
      <c r="N112" s="4" t="n">
        <v>123758.5564616593</v>
      </c>
      <c r="O112" s="4" t="n">
        <v>116419.6740634829</v>
      </c>
      <c r="P112" s="4" t="n">
        <v>23613806.7107348</v>
      </c>
    </row>
    <row r="113">
      <c r="A113" t="inlineStr">
        <is>
          <t>2035-04</t>
        </is>
      </c>
      <c r="B113" s="4" t="n">
        <v>0</v>
      </c>
      <c r="C113" s="4" t="n">
        <v>0</v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0</v>
      </c>
      <c r="J113" s="4" t="n">
        <v>0</v>
      </c>
      <c r="K113" s="4" t="n">
        <v>-6339.941363725324</v>
      </c>
      <c r="L113" s="4" t="n">
        <v>0</v>
      </c>
      <c r="M113" s="4" t="n">
        <v>0</v>
      </c>
      <c r="N113" s="4" t="n">
        <v>106913.0078199886</v>
      </c>
      <c r="O113" s="4" t="n">
        <v>100573.0664562633</v>
      </c>
      <c r="P113" s="4" t="n">
        <v>23714379.77719106</v>
      </c>
    </row>
    <row r="114">
      <c r="A114" t="inlineStr">
        <is>
          <t>2035-05</t>
        </is>
      </c>
      <c r="B114" s="4" t="n">
        <v>0</v>
      </c>
      <c r="C114" s="4" t="n">
        <v>0</v>
      </c>
      <c r="D114" s="4" t="n">
        <v>0</v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0</v>
      </c>
      <c r="J114" s="4" t="n">
        <v>0</v>
      </c>
      <c r="K114" s="4" t="n">
        <v>-5341.000329274251</v>
      </c>
      <c r="L114" s="4" t="n">
        <v>0</v>
      </c>
      <c r="M114" s="4" t="n">
        <v>0</v>
      </c>
      <c r="N114" s="4" t="n">
        <v>90067.45917831791</v>
      </c>
      <c r="O114" s="4" t="n">
        <v>84726.45884904366</v>
      </c>
      <c r="P114" s="4" t="n">
        <v>23799106.2360401</v>
      </c>
    </row>
    <row r="115">
      <c r="A115" t="inlineStr">
        <is>
          <t>2035-06</t>
        </is>
      </c>
      <c r="B115" s="4" t="n">
        <v>0</v>
      </c>
      <c r="C115" s="4" t="n">
        <v>0</v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-4342.059294823181</v>
      </c>
      <c r="L115" s="4" t="n">
        <v>0</v>
      </c>
      <c r="M115" s="4" t="n">
        <v>0</v>
      </c>
      <c r="N115" s="4" t="n">
        <v>73221.91053664722</v>
      </c>
      <c r="O115" s="4" t="n">
        <v>68879.85124182404</v>
      </c>
      <c r="P115" s="4" t="n">
        <v>23867986.08728192</v>
      </c>
    </row>
    <row r="116">
      <c r="A116" t="inlineStr">
        <is>
          <t>2035-07</t>
        </is>
      </c>
      <c r="B116" s="4" t="n">
        <v>0</v>
      </c>
      <c r="C116" s="4" t="n">
        <v>0</v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-3343.118260372109</v>
      </c>
      <c r="L116" s="4" t="n">
        <v>0</v>
      </c>
      <c r="M116" s="4" t="n">
        <v>0</v>
      </c>
      <c r="N116" s="4" t="n">
        <v>56376.36189497654</v>
      </c>
      <c r="O116" s="4" t="n">
        <v>53033.24363460443</v>
      </c>
      <c r="P116" s="4" t="n">
        <v>23921019.33091653</v>
      </c>
    </row>
    <row r="117">
      <c r="A117" t="inlineStr">
        <is>
          <t>2035-08</t>
        </is>
      </c>
      <c r="B117" s="4" t="n">
        <v>0</v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-2632.261344470598</v>
      </c>
      <c r="L117" s="4" t="n">
        <v>0</v>
      </c>
      <c r="M117" s="4" t="n">
        <v>0</v>
      </c>
      <c r="N117" s="4" t="n">
        <v>44388.89282412475</v>
      </c>
      <c r="O117" s="4" t="n">
        <v>41756.63147965415</v>
      </c>
      <c r="P117" s="4" t="n">
        <v>23962775.96239618</v>
      </c>
    </row>
    <row r="118">
      <c r="A118" t="inlineStr">
        <is>
          <t>2035-09</t>
        </is>
      </c>
      <c r="B118" s="4" t="n">
        <v>0</v>
      </c>
      <c r="C118" s="4" t="n">
        <v>0</v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-1921.404428569086</v>
      </c>
      <c r="L118" s="4" t="n">
        <v>0</v>
      </c>
      <c r="M118" s="4" t="n">
        <v>0</v>
      </c>
      <c r="N118" s="4" t="n">
        <v>32401.42375327295</v>
      </c>
      <c r="O118" s="4" t="n">
        <v>30480.01932470387</v>
      </c>
      <c r="P118" s="4" t="n">
        <v>23993255.98172089</v>
      </c>
    </row>
    <row r="119">
      <c r="A119" t="inlineStr">
        <is>
          <t>2035-10</t>
        </is>
      </c>
      <c r="B119" s="4" t="n">
        <v>0</v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-1210.547512667574</v>
      </c>
      <c r="L119" s="4" t="n">
        <v>0</v>
      </c>
      <c r="M119" s="4" t="n">
        <v>0</v>
      </c>
      <c r="N119" s="4" t="n">
        <v>20413.95468242115</v>
      </c>
      <c r="O119" s="4" t="n">
        <v>19203.40716975358</v>
      </c>
      <c r="P119" s="4" t="n">
        <v>24012459.38889064</v>
      </c>
    </row>
    <row r="120">
      <c r="A120" t="inlineStr">
        <is>
          <t>2035-11</t>
        </is>
      </c>
      <c r="B120" s="4" t="n">
        <v>0</v>
      </c>
      <c r="C120" s="4" t="n">
        <v>0</v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-807.0316751117161</v>
      </c>
      <c r="L120" s="4" t="n">
        <v>0</v>
      </c>
      <c r="M120" s="4" t="n">
        <v>0</v>
      </c>
      <c r="N120" s="4" t="n">
        <v>13609.3031216141</v>
      </c>
      <c r="O120" s="4" t="n">
        <v>12802.27144650239</v>
      </c>
      <c r="P120" s="4" t="n">
        <v>24025261.66033714</v>
      </c>
    </row>
    <row r="121">
      <c r="A121" t="inlineStr">
        <is>
          <t>2035-12</t>
        </is>
      </c>
      <c r="B121" s="4" t="n">
        <v>0</v>
      </c>
      <c r="C121" s="4" t="n">
        <v>0</v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-403.5158375558581</v>
      </c>
      <c r="L121" s="4" t="n">
        <v>0</v>
      </c>
      <c r="M121" s="4" t="n">
        <v>0</v>
      </c>
      <c r="N121" s="4" t="n">
        <v>6804.65156080705</v>
      </c>
      <c r="O121" s="4" t="n">
        <v>6401.135723251193</v>
      </c>
      <c r="P121" s="4" t="n">
        <v>24031662.79606039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3" customWidth="1" min="3" max="3"/>
    <col width="13" customWidth="1" min="4" max="4"/>
    <col width="14" customWidth="1" min="5" max="5"/>
    <col width="16" customWidth="1" min="6" max="6"/>
    <col width="17" customWidth="1" min="7" max="7"/>
  </cols>
  <sheetData>
    <row r="1">
      <c r="A1" s="2" t="inlineStr">
        <is>
          <t>Assumption</t>
        </is>
      </c>
      <c r="B1" s="2" t="inlineStr">
        <is>
          <t>Low value</t>
        </is>
      </c>
      <c r="C1" s="2" t="inlineStr">
        <is>
          <t>High value</t>
        </is>
      </c>
      <c r="D1" s="2" t="inlineStr">
        <is>
          <t>NPV at low</t>
        </is>
      </c>
      <c r="E1" s="2" t="inlineStr">
        <is>
          <t>NPV at high</t>
        </is>
      </c>
      <c r="F1" s="2" t="inlineStr">
        <is>
          <t>Change at low</t>
        </is>
      </c>
      <c r="G1" s="2" t="inlineStr">
        <is>
          <t>Change at high</t>
        </is>
      </c>
    </row>
    <row r="2">
      <c r="A2" t="inlineStr">
        <is>
          <t>infra_per_m2</t>
        </is>
      </c>
      <c r="B2" t="n">
        <v>80</v>
      </c>
      <c r="C2" t="n">
        <v>160</v>
      </c>
      <c r="D2" s="4" t="n">
        <v>6000578.93414305</v>
      </c>
      <c r="E2" s="4" t="n">
        <v>-3845097.160557218</v>
      </c>
      <c r="F2" s="4" t="n">
        <v>3692128.535512599</v>
      </c>
      <c r="G2" s="4" t="n">
        <v>-6153547.559187669</v>
      </c>
    </row>
    <row r="3">
      <c r="A3" t="inlineStr">
        <is>
          <t>lot_price_factor</t>
        </is>
      </c>
      <c r="B3" t="n">
        <v>0.85</v>
      </c>
      <c r="C3" t="n">
        <v>1.1</v>
      </c>
      <c r="D3" s="4" t="n">
        <v>-2869553.403403218</v>
      </c>
      <c r="E3" s="4" t="n">
        <v>5760452.933319559</v>
      </c>
      <c r="F3" s="4" t="n">
        <v>-5178003.802033669</v>
      </c>
      <c r="G3" s="4" t="n">
        <v>3452002.534689108</v>
      </c>
    </row>
    <row r="4">
      <c r="A4" t="inlineStr">
        <is>
          <t>discount_rate_year</t>
        </is>
      </c>
      <c r="B4" t="n">
        <v>0.11</v>
      </c>
      <c r="C4" t="n">
        <v>0.18</v>
      </c>
      <c r="D4" s="4" t="n">
        <v>5409975.902384862</v>
      </c>
      <c r="E4" s="4" t="n">
        <v>-1001485.688226449</v>
      </c>
      <c r="F4" s="4" t="n">
        <v>3101525.503754411</v>
      </c>
      <c r="G4" s="4" t="n">
        <v>-3309936.0868569</v>
      </c>
    </row>
    <row r="5">
      <c r="A5" t="inlineStr">
        <is>
          <t>absorption_months</t>
        </is>
      </c>
      <c r="B5" t="n">
        <v>24</v>
      </c>
      <c r="C5" t="n">
        <v>48</v>
      </c>
      <c r="D5" s="4" t="n">
        <v>4361260.191854734</v>
      </c>
      <c r="E5" s="4" t="n">
        <v>421833.5538016314</v>
      </c>
      <c r="F5" s="4" t="n">
        <v>2052809.793224283</v>
      </c>
      <c r="G5" s="4" t="n">
        <v>-1886616.84482882</v>
      </c>
    </row>
    <row r="6">
      <c r="A6" t="inlineStr">
        <is>
          <t>hold_months</t>
        </is>
      </c>
      <c r="B6" t="n">
        <v>24</v>
      </c>
      <c r="C6" t="n">
        <v>48</v>
      </c>
      <c r="D6" s="4" t="n">
        <v>2533108.278221167</v>
      </c>
      <c r="E6" s="4" t="n">
        <v>1691871.710085637</v>
      </c>
      <c r="F6" s="4" t="n">
        <v>224657.8795907157</v>
      </c>
      <c r="G6" s="4" t="n">
        <v>-616578.688544814</v>
      </c>
    </row>
    <row r="7">
      <c r="A7" t="inlineStr">
        <is>
          <t>default_rate</t>
        </is>
      </c>
      <c r="B7" t="n">
        <v>0</v>
      </c>
      <c r="C7" t="n">
        <v>0.03</v>
      </c>
      <c r="D7" s="4" t="n">
        <v>2518329.349002331</v>
      </c>
      <c r="E7" s="4" t="n">
        <v>1888692.497886693</v>
      </c>
      <c r="F7" s="4" t="n">
        <v>209878.9503718796</v>
      </c>
      <c r="G7" s="4" t="n">
        <v>-419757.9007437581</v>
      </c>
    </row>
    <row r="8">
      <c r="A8" t="inlineStr">
        <is>
          <t>cash_share</t>
        </is>
      </c>
      <c r="B8" t="n">
        <v>0.2</v>
      </c>
      <c r="C8" t="n">
        <v>0.4</v>
      </c>
      <c r="D8" s="4" t="n">
        <v>2273944.919146569</v>
      </c>
      <c r="E8" s="4" t="n">
        <v>2342955.878114338</v>
      </c>
      <c r="F8" s="4" t="n">
        <v>-34505.47948388243</v>
      </c>
      <c r="G8" s="4" t="n">
        <v>34505.47948388662</v>
      </c>
    </row>
    <row r="10">
      <c r="A10" t="inlineStr">
        <is>
          <t>Base portfolio NPV: 2,308,450. One assumption moves at a time.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10" customWidth="1" min="3" max="3"/>
    <col width="14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Id</t>
        </is>
      </c>
      <c r="B1" s="2" t="inlineStr">
        <is>
          <t>Parcel</t>
        </is>
      </c>
      <c r="C1" s="2" t="inlineStr">
        <is>
          <t>Area m2</t>
        </is>
      </c>
      <c r="D1" s="2" t="inlineStr">
        <is>
          <t>Rule picks</t>
        </is>
      </c>
      <c r="E1" s="2" t="inlineStr">
        <is>
          <t>VGV subdivided</t>
        </is>
      </c>
      <c r="F1" s="2" t="inlineStr">
        <is>
          <t>NPV subdivided</t>
        </is>
      </c>
      <c r="G1" s="2" t="inlineStr">
        <is>
          <t>IRR subdivided</t>
        </is>
      </c>
      <c r="H1" s="2" t="inlineStr">
        <is>
          <t>VGV sold whole</t>
        </is>
      </c>
      <c r="I1" s="2" t="inlineStr">
        <is>
          <t>NPV sold whole</t>
        </is>
      </c>
      <c r="J1" s="2" t="inlineStr">
        <is>
          <t>IRR sold whole</t>
        </is>
      </c>
    </row>
    <row r="2">
      <c r="A2" t="inlineStr">
        <is>
          <t>T02</t>
        </is>
      </c>
      <c r="B2" t="inlineStr">
        <is>
          <t>Área Jardim Novo</t>
        </is>
      </c>
      <c r="C2" s="3" t="n">
        <v>33800</v>
      </c>
      <c r="D2" t="inlineStr">
        <is>
          <t>subdivision</t>
        </is>
      </c>
      <c r="E2" s="4" t="n">
        <v>8582700</v>
      </c>
      <c r="F2" s="4" t="n">
        <v>364933.5785427943</v>
      </c>
      <c r="G2" s="5" t="n">
        <v>0.1656297338041</v>
      </c>
      <c r="H2" s="4" t="n">
        <v>3714539.395481213</v>
      </c>
      <c r="I2" s="4" t="n">
        <v>-552136.3479687693</v>
      </c>
      <c r="J2" s="5" t="n">
        <v>0.05652634874209261</v>
      </c>
    </row>
    <row r="3">
      <c r="A3" t="inlineStr">
        <is>
          <t>T04</t>
        </is>
      </c>
      <c r="B3" t="inlineStr">
        <is>
          <t>Gleba Boa Vista</t>
        </is>
      </c>
      <c r="C3" s="3" t="n">
        <v>68000</v>
      </c>
      <c r="D3" t="inlineStr">
        <is>
          <t>subdivision</t>
        </is>
      </c>
      <c r="E3" s="4" t="n">
        <v>12566400</v>
      </c>
      <c r="F3" s="4" t="n">
        <v>344648.9924132955</v>
      </c>
      <c r="G3" s="5" t="n">
        <v>0.1573131825343408</v>
      </c>
      <c r="H3" s="4" t="n">
        <v>4326495.58987846</v>
      </c>
      <c r="I3" s="4" t="n">
        <v>-565246.8393668397</v>
      </c>
      <c r="J3" s="5" t="n">
        <v>0.06486185661564003</v>
      </c>
    </row>
    <row r="4">
      <c r="A4" t="inlineStr">
        <is>
          <t>T05</t>
        </is>
      </c>
      <c r="B4" t="inlineStr">
        <is>
          <t>Gleba Santa Rita</t>
        </is>
      </c>
      <c r="C4" s="3" t="n">
        <v>73600</v>
      </c>
      <c r="D4" t="inlineStr">
        <is>
          <t>subdivision</t>
        </is>
      </c>
      <c r="E4" s="4" t="n">
        <v>13406400</v>
      </c>
      <c r="F4" s="4" t="n">
        <v>459331.1899937682</v>
      </c>
      <c r="G4" s="5" t="n">
        <v>0.1619766365685784</v>
      </c>
      <c r="H4" s="4" t="n">
        <v>4853078.68948078</v>
      </c>
      <c r="I4" s="4" t="n">
        <v>-308842.3963977458</v>
      </c>
      <c r="J4" s="5" t="n">
        <v>0.100951700801122</v>
      </c>
    </row>
    <row r="5">
      <c r="A5" t="inlineStr">
        <is>
          <t>T09</t>
        </is>
      </c>
      <c r="B5" t="inlineStr">
        <is>
          <t>Gleba Ribeirão Claro</t>
        </is>
      </c>
      <c r="C5" s="3" t="n">
        <v>76200</v>
      </c>
      <c r="D5" t="inlineStr">
        <is>
          <t>subdivision</t>
        </is>
      </c>
      <c r="E5" s="4" t="n">
        <v>17601600</v>
      </c>
      <c r="F5" s="4" t="n">
        <v>2373376.182410962</v>
      </c>
      <c r="G5" s="5" t="n">
        <v>0.2391126968388784</v>
      </c>
      <c r="H5" s="4" t="n">
        <v>5817864.069683624</v>
      </c>
      <c r="I5" s="4" t="n">
        <v>-289412.4888898606</v>
      </c>
      <c r="J5" s="5" t="n">
        <v>0.1091161338273767</v>
      </c>
    </row>
    <row r="7">
      <c r="A7" t="inlineStr">
        <is>
          <t>Rule: urban or urban-expansion parcels of at least 20,000 m2 are subdivided; the rest are sold whole.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50" customWidth="1" min="4" max="4"/>
    <col width="80" customWidth="1" min="5" max="5"/>
    <col width="60" customWidth="1" min="6" max="6"/>
    <col width="50" customWidth="1" min="7" max="7"/>
  </cols>
  <sheetData>
    <row r="1">
      <c r="A1" s="2" t="inlineStr">
        <is>
          <t>Id</t>
        </is>
      </c>
      <c r="B1" s="2" t="inlineStr">
        <is>
          <t>Recommendation</t>
        </is>
      </c>
      <c r="C1" s="2" t="inlineStr">
        <is>
          <t>Number check</t>
        </is>
      </c>
      <c r="D1" s="2" t="inlineStr">
        <is>
          <t>Headline</t>
        </is>
      </c>
      <c r="E1" s="2" t="inlineStr">
        <is>
          <t>Thesis</t>
        </is>
      </c>
      <c r="F1" s="2" t="inlineStr">
        <is>
          <t>Risks</t>
        </is>
      </c>
      <c r="G1" s="2" t="inlineStr">
        <is>
          <t>Conditions</t>
        </is>
      </c>
    </row>
    <row r="2">
      <c r="A2" t="inlineStr">
        <is>
          <t>T01</t>
        </is>
      </c>
      <c r="B2" t="inlineStr">
        <is>
          <t>do_not_invest</t>
        </is>
      </c>
      <c r="C2" t="inlineStr">
        <is>
          <t>checked</t>
        </is>
      </c>
      <c r="D2" s="6" t="inlineStr">
        <is>
          <t>T01 Sítio Pinheirinho does not clear the 14.0% hurdle rate, so the parcel should not be acquired on the current plan.</t>
        </is>
      </c>
      <c r="E2" s="6" t="inlineStr">
        <is>
          <t>Acquiring the whole parcel for R$ 693,000 yields a nominal net profit of R$ 166,846 on a VGV of R$ 1,124,426, a 14.8% margin. At the 14.0% hurdle rate the NPV is R$ -133,515 and the IRR is only 6.9% per year. Payback takes 39 months within a 43-month cash flow, and maximum cash exposure reaches R$ 861,482.</t>
        </is>
      </c>
      <c r="F2" s="6" t="inlineStr">
        <is>
          <t>Holding costs of R$ 134,798 erode a thin margin over the 43-month cash flow. | Infrastructure and site labor is budgeted at R$ 0, so unexpected development costs could further reduce returns. | Payback at 39 months leaves little buffer against sales delays on a rural parcel.</t>
        </is>
      </c>
      <c r="G2" s="6" t="inlineStr">
        <is>
          <t>Acquisition price is renegotiated low enough to bring NPV at the 14.0% hurdle rate to zero or above.</t>
        </is>
      </c>
    </row>
    <row r="3">
      <c r="A3" t="inlineStr">
        <is>
          <t>T02</t>
        </is>
      </c>
      <c r="B3" t="inlineStr">
        <is>
          <t>invest_with_conditions</t>
        </is>
      </c>
      <c r="C3" t="inlineStr">
        <is>
          <t>checked</t>
        </is>
      </c>
      <c r="D3" s="6" t="inlineStr">
        <is>
          <t>Parcel T02 Área Jardim Novo clears the 14.0% hurdle rate with an NPV of R$ 364,934, but the 56-month payback and R$ 4,316,843 peak cash exposure call for disciplined execution.</t>
        </is>
      </c>
      <c r="E3" s="6" t="inlineStr">
        <is>
          <t>The urban subdivision of 33,800 m2 into 67 lots at R$ 128,100 per lot produces a VGV of R$ 8,582,700 against an acquisition price of R$ 2,648,000. The project yields a net profit of R$ 3,654,876, a margin on VGV of 42.6%, and an IRR of 16.6% per year, above the 14.0% hurdle rate. Returns are real but depend on a long cash cycle of 108 months and substantial infrastructure spending of R$ 2,387,880.</t>
        </is>
      </c>
      <c r="F3" s="6" t="inlineStr">
        <is>
          <t>Payback of 56 months and a cash flow duration of 108 months expose capital to long-term market and financing risk. | Maximum cash exposure of R$ 4,316,843 is large relative to the acquisition price, leaving little margin for cost overruns. | Holding costs of R$ 144,865 and a 12-month lead from purchase to launch add carry risk if sales slow.</t>
        </is>
      </c>
      <c r="G3" s="6" t="inlineStr">
        <is>
          <t>Infrastructure and site labor budget is locked at or near R$ 2,387,880 before closing. | Presales or lot reservations are secured before the 12-month launch to validate the R$ 128,100 price per lot.</t>
        </is>
      </c>
    </row>
    <row r="4">
      <c r="A4" t="inlineStr">
        <is>
          <t>T03</t>
        </is>
      </c>
      <c r="B4" t="inlineStr">
        <is>
          <t>do_not_invest</t>
        </is>
      </c>
      <c r="C4" t="inlineStr">
        <is>
          <t>checked</t>
        </is>
      </c>
      <c r="D4" s="6" t="inlineStr">
        <is>
          <t>T03 Chácara Água Limpa does not clear the 14.0% hurdle rate, with an NPV of R$ -180,966 and an IRR of 5.2% per year.</t>
        </is>
      </c>
      <c r="E4" s="6" t="inlineStr">
        <is>
          <t>The parcel is a whole-strategy rural purchase at R$ 755,000 with a VGV of R$ 1,222,756 and a nominal net profit of R$ 139,917, a margin on VGV of 11.4%. Discounted at the 14.0% hurdle rate the NPV is R$ -180,966, so the investment destroys value relative to our required return. Payback of 40 months within a 43-month cash flow duration leaves little margin for delay, and holding costs of R$ 186,862 consume much of the nominal gain.</t>
        </is>
      </c>
      <c r="F4" s="6" t="inlineStr">
        <is>
          <t>Holding costs of R$ 186,862 erode returns over a 43-month cash flow duration | Maximum cash exposure of R$ 978,338 ties up capital well beyond the hurdle rate | Infrastructure and site labor is budgeted at R$ 0, so unforeseen site works could further reduce margin</t>
        </is>
      </c>
      <c r="G4" s="6" t="inlineStr">
        <is>
          <t>Acquisition price or holding costs are renegotiated so that NPV at 14.0% is no longer negative</t>
        </is>
      </c>
    </row>
    <row r="5">
      <c r="A5" t="inlineStr">
        <is>
          <t>T04</t>
        </is>
      </c>
      <c r="B5" t="inlineStr">
        <is>
          <t>invest_with_conditions</t>
        </is>
      </c>
      <c r="C5" t="inlineStr">
        <is>
          <t>checked</t>
        </is>
      </c>
      <c r="D5" s="6" t="inlineStr">
        <is>
          <t>T04 Gleba Boa Vista, a 68,000 m2 subdivision expansion, clears the 14.0% hurdle rate with a positive NPV, but payback of 59 months and maximum cash exposure of R$ 6,740,768 require disciplined execution.</t>
        </is>
      </c>
      <c r="E5" s="6" t="inlineStr">
        <is>
          <t>The parcel is acquired for R$ 2,956,000 and is expected to generate a VGV of R$ 12,566,400 across 136 lots at R$ 92,400 per lot, producing a nominal net profit of R$ 4,925,593 and a margin on VGV of 39.2%. The NPV at the 14.0% hurdle rate is R$ 344,649 with an IRR of 15.7% per year, so the project meets the return threshold. Returns are back-loaded, with payback at 59 months over a cash flow duration of 108 months, and infrastructure and site labor of R$ 4,847,040 drive the capital need.</t>
        </is>
      </c>
      <c r="F5" s="6" t="inlineStr">
        <is>
          <t>Maximum cash exposure of R$ 6,740,768 is large relative to the acquisition price and depends on construction and sales timing. | Payback at 59 months within a 108-month cash flow duration leaves long exposure to market and interest-rate shifts. | Holding costs of R$ 233,148 and the 12-month lead from purchase to launch could erode the thin NPV margin if delays occur.</t>
        </is>
      </c>
      <c r="G5" s="6" t="inlineStr">
        <is>
          <t>Infrastructure and site labor budget of R$ 4,847,040 is confirmed by fixed-price contracts before commitment. | Pre-sales of the 136 lots at R$ 92,400 per lot are secured or credibly validated before launch.</t>
        </is>
      </c>
    </row>
    <row r="6">
      <c r="A6" t="inlineStr">
        <is>
          <t>T05</t>
        </is>
      </c>
      <c r="B6" t="inlineStr">
        <is>
          <t>invest_with_conditions</t>
        </is>
      </c>
      <c r="C6" t="inlineStr">
        <is>
          <t>checked</t>
        </is>
      </c>
      <c r="D6" s="6" t="inlineStr">
        <is>
          <t>T05 Gleba Santa Rita, a 147-lot subdivision expansion, clears the 14.0% hurdle rate with positive NPV, but payback is slow and cash exposure is high.</t>
        </is>
      </c>
      <c r="E6" s="6" t="inlineStr">
        <is>
          <t>The parcel of 73,600 m2 was bought for R$ 3,016,000 and projects a VGV of R$ 13,406,400, a margin on VGV of 39.8% and a net profit of R$ 5,335,324. The NPV at the 14.0% hurdle rate is R$ 459,331 and the IRR is 16.2% per year, so the project creates value on these assumptions. Maximum cash exposure of R$ 7,111,106 and a payback of 58 months over a 108-month cash flow duration make the return sensitive to timing and execution.</t>
        </is>
      </c>
      <c r="F6" s="6" t="inlineStr">
        <is>
          <t>Maximum cash exposure of R$ 7,111,106 ties up significant capital for a long period before payback at 58 months. | Infrastructure and site labor of R$ 5,239,080 is a large cost base that could overrun and erode the thin NPV margin of R$ 459,331.</t>
        </is>
      </c>
      <c r="G6" s="6" t="inlineStr">
        <is>
          <t>Infrastructure and site labor are contracted at or below the budgeted R$ 5,239,080 before launch. | The 147 lots are sold at or near R$ 91,200 per lot within the 12 months from purchase to launch.</t>
        </is>
      </c>
    </row>
    <row r="7">
      <c r="A7" t="inlineStr">
        <is>
          <t>T06</t>
        </is>
      </c>
      <c r="B7" t="inlineStr">
        <is>
          <t>do_not_invest</t>
        </is>
      </c>
      <c r="C7" t="inlineStr">
        <is>
          <t>checked</t>
        </is>
      </c>
      <c r="D7" s="6" t="inlineStr">
        <is>
          <t>Parcel T06 Área Avenida Central fails the 14.0% hurdle rate, with a negative NPV of R$ -121,070 despite positive nominal profit.</t>
        </is>
      </c>
      <c r="E7" s="6" t="inlineStr">
        <is>
          <t>The whole-parcel strategy on this 10,000 m2 urban site returns a nominal net profit of R$ 361,438 on a VGV of R$ 1,723,657, a 21.0% margin. However, the IRR of 9.8% per year sits well below the 14.0% hurdle rate, so the project destroys value on a time-adjusted basis. Payback of 38 months against a 43-month cash flow duration and maximum cash exposure of R$ 1,214,910 further weakens the case.</t>
        </is>
      </c>
      <c r="F7" s="6" t="inlineStr">
        <is>
          <t>IRR of 9.8% per year is below the 14.0% hurdle, so capital is tied up for a sub-hurdle return. | Holding costs of R$ 51,825 (maintenance and property tax) erode margin over a 43-month cash flow duration.</t>
        </is>
      </c>
      <c r="G7" s="6" t="inlineStr">
        <is>
          <t>Acquisition price or entry terms must fall enough to lift the NPV at the 14.0% hurdle rate to zero or above. | Sales value or timing must improve materially to close the gap between the 9.8% IRR and the 14.0% hurdle.</t>
        </is>
      </c>
    </row>
    <row r="8">
      <c r="A8" t="inlineStr">
        <is>
          <t>T07</t>
        </is>
      </c>
      <c r="B8" t="inlineStr">
        <is>
          <t>do_not_invest</t>
        </is>
      </c>
      <c r="C8" t="inlineStr">
        <is>
          <t>checked</t>
        </is>
      </c>
      <c r="D8" s="6" t="inlineStr">
        <is>
          <t>T07 Terreno Esquina Comercial does not clear the 14.0% hurdle rate, with a negative NPV of R$ -223,173 at that rate.</t>
        </is>
      </c>
      <c r="E8" s="6" t="inlineStr">
        <is>
          <t>The parcel is a 4,000 m2 urban whole-parcel acquisition at R$ 1,074,000 with a VGV of R$ 1,476,098 and a nominal net profit of R$ 191,166, a 13.0% margin on VGV. However, the IRR of 5.6% per year falls well below the 14.0% hurdle rate, producing an NPV of R$ -223,173. Payback takes 40 months over a 43-month cash flow duration, and maximum cash exposure reaches R$ 1,158,780.</t>
        </is>
      </c>
      <c r="F8" s="6" t="inlineStr">
        <is>
          <t>IRR of 5.6% per year is far below the 14.0% hurdle rate, so capital is poorly compensated for the time committed | Holding costs of R$ 36,450 (maintenance + property tax) erode returns over a 43-month cash flow duration | Infrastructure and site labor is budgeted at R$ 0, so any unforeseen site works would reduce the nominal profit of R$ 191,166</t>
        </is>
      </c>
      <c r="G8" s="6" t="inlineStr">
        <is>
          <t>Acquisition price is renegotiated to a level where NPV at the 14.0% hurdle rate is no longer negative | Sales value or margin improves enough to lift the IRR materially above 5.6% per year</t>
        </is>
      </c>
    </row>
    <row r="9">
      <c r="A9" t="inlineStr">
        <is>
          <t>T08</t>
        </is>
      </c>
      <c r="B9" t="inlineStr">
        <is>
          <t>do_not_invest</t>
        </is>
      </c>
      <c r="C9" t="inlineStr">
        <is>
          <t>checked</t>
        </is>
      </c>
      <c r="D9" s="6" t="inlineStr">
        <is>
          <t>T08 Área Vila Operária shows a negative NPV of R$ -166,926 at the 14.0% hurdle rate, so the parcel should not be acquired on the current terms.</t>
        </is>
      </c>
      <c r="E9" s="6" t="inlineStr">
        <is>
          <t>At an IRR of 4.4% per year against a 14.0% hurdle rate, the parcel fails to earn the required return despite a nominal net profit of R$ 98,816. The margin on VGV of 10.4% is thin relative to a maximum cash exposure of R$ 772,830 and a payback of 40 months within a 43-month cash flow duration. The business case does not justify the capital tied up.</t>
        </is>
      </c>
      <c r="F9" s="6" t="inlineStr">
        <is>
          <t>Returns are well below the hurdle rate, and the 40-month payback leaves little margin for delays. | Holding costs of R$ 36,105 and infrastructure and site labor at R$ 0 may be understated if site work proves necessary.</t>
        </is>
      </c>
      <c r="G9" s="6" t="inlineStr">
        <is>
          <t>Acquisition price is reduced enough to bring NPV at the 14.0% hurdle rate to a positive value. | Sales value or timing improves enough to lift the IRR above the 14.0% hurdle rate.</t>
        </is>
      </c>
    </row>
    <row r="10">
      <c r="A10" t="inlineStr">
        <is>
          <t>T09</t>
        </is>
      </c>
      <c r="B10" t="inlineStr">
        <is>
          <t>invest</t>
        </is>
      </c>
      <c r="C10" t="inlineStr">
        <is>
          <t>checked</t>
        </is>
      </c>
      <c r="D10" s="6" t="inlineStr">
        <is>
          <t>T09 Gleba Ribeirão Claro, a 76,200 m2 subdivision expansion, clears the 14.0% hurdle rate with a positive NPV and a 23.9% IRR.</t>
        </is>
      </c>
      <c r="E10" s="6" t="inlineStr">
        <is>
          <t>The parcel is acquired for R$ 3,563,000 and supports 152 lots at R$ 115,800 each, for a VGV of R$ 17,601,600 and a net nominal profit of R$ 9,044,293 (51.4% margin on VGV). At the 14.0% hurdle rate the NPV is R$ 2,373,376, and the IRR of 23.9% per year is well above the hurdle. Payback occurs in 48 months within a 108-month cash flow duration, with maximum cash exposure of R$ 7,312,004.</t>
        </is>
      </c>
      <c r="F10" s="6" t="inlineStr">
        <is>
          <t>Infrastructure and site labor of R$ 5,417,280 is large relative to the purchase price and could overrun. | Lot sales depend on absorbing 152 lots at R$ 115,800 each, so slower sales would extend payback beyond 48 months. | Holding costs of R$ 267,422 and the 12-month lead time from purchase to launch expose the project to market and timing delays.</t>
        </is>
      </c>
      <c r="G10" s="6" t="inlineStr"/>
    </row>
    <row r="11">
      <c r="A11" t="inlineStr">
        <is>
          <t>T10</t>
        </is>
      </c>
      <c r="B11" t="inlineStr">
        <is>
          <t>do_not_invest</t>
        </is>
      </c>
      <c r="C11" t="inlineStr">
        <is>
          <t>checked</t>
        </is>
      </c>
      <c r="D11" s="6" t="inlineStr">
        <is>
          <t>The T10 Terreno Rua das Acácias parcel should not be acquired at R$ 590,000 because its NPV at the 14.0% hurdle rate is negative.</t>
        </is>
      </c>
      <c r="E11" s="6" t="inlineStr">
        <is>
          <t>At an acquisition price of R$ 590,000 and a VGV of R$ 821,109, the parcel yields a net profit of R$ 113,394 and a margin on VGV of 13.8%. However, the NPV at the 14.0% hurdle rate is R$ -116,989 and the IRR is 6.0% per year, well below the hurdle. Payback takes 40 months within a 43-month cash flow duration, leaving little slack.</t>
        </is>
      </c>
      <c r="F11" s="6" t="inlineStr">
        <is>
          <t>IRR of 6.0% per year falls well short of the 14.0% hurdle rate, so capital would be destroyed on a risk-adjusted basis. | Maximum cash exposure of R$ 637,540 and holding costs of R$ 20,990 erode returns over a long horizon. | Thin margin on VGV of 13.8% leaves little buffer against sales price or timing slippage.</t>
        </is>
      </c>
      <c r="G11" s="6" t="inlineStr">
        <is>
          <t>Acquisition price would need to fall enough to bring the NPV at the 14.0% hurdle rate to zero or above. | Sales value or schedule would need to improve enough to lift the IRR above the 14.0% hurdle rate.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2026-10-19T21:24:58Z</dcterms:created>
  <dcterms:modified xmlns:dcterms="http://purl.org/dc/terms/" xmlns:xsi="http://www.w3.org/2001/XMLSchema-instance" xsi:type="dcterms:W3CDTF">2026-10-19T21:24:58Z</dcterms:modified>
</cp:coreProperties>
</file>
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sh flow (quarterly)" sheetId="2" state="visible" r:id="rId2"/>
    <sheet xmlns:r="http://schemas.openxmlformats.org/officeDocument/2006/relationships" name="Parcel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Cash flow (monthly)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trategy" sheetId="8" state="visible" r:id="rId8"/>
    <sheet xmlns:r="http://schemas.openxmlformats.org/officeDocument/2006/relationships" name="Mem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;[Red]-&quot;R$&quot; #,##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1F4E5F"/>
      <sz val="15"/>
    </font>
    <font>
      <i val="1"/>
      <color rgb="005B6A72"/>
    </font>
    <font>
      <b val="1"/>
      <color rgb="00FFFFFF"/>
    </font>
    <font>
      <b val="1"/>
      <color rgb="001F4E5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NPV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'Summary'!D17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'Summary'!$A$18:$A$20</f>
            </numRef>
          </cat>
          <val>
            <numRef>
              <f>'Summary'!$D$18:$D$20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cash flow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 (quarterly)'!B1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'Cash flow (quarterly)'!$A$2:$A$41</f>
            </numRef>
          </cat>
          <val>
            <numRef>
              <f>'Cash flow (quarterly)'!$B$2:$B$41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'Cash flow (quarterly)'!C1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(quarterly)'!$C$2:$C$41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 million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by parcel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'Parcels'!M1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'Parcels'!$A$2:$A$11</f>
            </numRef>
          </cat>
          <val>
            <numRef>
              <f>'Parcels'!$M$2:$M$11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Parcel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Sensitivity: change in portfolio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'Sensitivity'!$F$2:$F$8</f>
            </numRef>
          </val>
        </ser>
        <ser>
          <idx val="1"/>
          <order val="1"/>
          <tx>
            <strRef>
              <f>'Sensitivity'!G1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'Sensitivity'!$G$2:$G$8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Change in 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6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3" customWidth="1" min="3" max="3"/>
    <col width="14" customWidth="1" min="4" max="4"/>
    <col width="11" customWidth="1" min="5" max="5"/>
    <col width="15" customWidth="1" min="6" max="6"/>
    <col width="11" customWidth="1" min="7" max="7"/>
  </cols>
  <sheetData>
    <row r="1">
      <c r="A1" s="1" t="inlineStr">
        <is>
          <t>Land portfolio - cost x return</t>
        </is>
      </c>
    </row>
    <row r="2">
      <c r="A2" s="2" t="inlineStr">
        <is>
          <t>Synthetic data generated by generate_data.py. Assumptions and their sources: sheet Assumptions.</t>
        </is>
      </c>
    </row>
    <row r="4" ht="30" customHeight="1">
      <c r="A4" s="3" t="inlineStr">
        <is>
          <t>Portfolio KPI</t>
        </is>
      </c>
      <c r="B4" s="3" t="inlineStr">
        <is>
          <t>Base case</t>
        </is>
      </c>
    </row>
    <row r="5">
      <c r="A5" t="inlineStr">
        <is>
          <t>Parcels</t>
        </is>
      </c>
      <c r="B5" s="4" t="n">
        <v>10</v>
      </c>
    </row>
    <row r="6">
      <c r="A6" t="inlineStr">
        <is>
          <t>VGV (total sales value)</t>
        </is>
      </c>
      <c r="B6" s="5" t="n">
        <v>59478247.76461599</v>
      </c>
    </row>
    <row r="7">
      <c r="A7" t="inlineStr">
        <is>
          <t xml:space="preserve">  subdivided</t>
        </is>
      </c>
      <c r="B7" s="5" t="n">
        <v>52157100</v>
      </c>
    </row>
    <row r="8">
      <c r="A8" t="inlineStr">
        <is>
          <t xml:space="preserve">  sold whole</t>
        </is>
      </c>
      <c r="B8" s="5" t="n">
        <v>7321147.764615993</v>
      </c>
    </row>
    <row r="9">
      <c r="A9" t="inlineStr">
        <is>
          <t>Net profit (nominal)</t>
        </is>
      </c>
      <c r="B9" s="5" t="n">
        <v>23701433.61530288</v>
      </c>
    </row>
    <row r="10">
      <c r="A10" t="inlineStr">
        <is>
          <t>Margin on VGV</t>
        </is>
      </c>
      <c r="B10" s="6" t="n">
        <v>0.3984891032617645</v>
      </c>
    </row>
    <row r="11">
      <c r="A11" t="inlineStr">
        <is>
          <t>NPV at 14% a year</t>
        </is>
      </c>
      <c r="B11" s="5" t="n">
        <v>2189659.079510847</v>
      </c>
    </row>
    <row r="12">
      <c r="A12" t="inlineStr">
        <is>
          <t>IRR per year</t>
        </is>
      </c>
      <c r="B12" s="6" t="n">
        <v>0.1655855454277431</v>
      </c>
    </row>
    <row r="13">
      <c r="A13" t="inlineStr">
        <is>
          <t>Maximum cash exposure</t>
        </is>
      </c>
      <c r="B13" s="5" t="n">
        <v>28399679.23419673</v>
      </c>
    </row>
    <row r="14">
      <c r="A14" t="inlineStr">
        <is>
          <t>Month of maximum exposure</t>
        </is>
      </c>
      <c r="B14" s="7" t="inlineStr">
        <is>
          <t>2028-09</t>
        </is>
      </c>
    </row>
    <row r="15">
      <c r="A15" t="inlineStr">
        <is>
          <t>Payback month</t>
        </is>
      </c>
      <c r="B15" s="7" t="inlineStr">
        <is>
          <t>2031-02</t>
        </is>
      </c>
    </row>
    <row r="17" ht="30" customHeight="1">
      <c r="A17" s="3" t="inlineStr">
        <is>
          <t>Scenario</t>
        </is>
      </c>
      <c r="B17" s="3" t="inlineStr">
        <is>
          <t>VGV</t>
        </is>
      </c>
      <c r="C17" s="3" t="inlineStr">
        <is>
          <t>Profit</t>
        </is>
      </c>
      <c r="D17" s="3" t="inlineStr">
        <is>
          <t>NPV</t>
        </is>
      </c>
      <c r="E17" s="3" t="inlineStr">
        <is>
          <t>IRR</t>
        </is>
      </c>
      <c r="F17" s="3" t="inlineStr">
        <is>
          <t>Max exposure</t>
        </is>
      </c>
      <c r="G17" s="3" t="inlineStr">
        <is>
          <t>Margin</t>
        </is>
      </c>
    </row>
    <row r="18">
      <c r="A18" t="inlineStr">
        <is>
          <t>pessimistic</t>
        </is>
      </c>
      <c r="B18" s="8" t="n">
        <v>50388091.46496995</v>
      </c>
      <c r="C18" s="8" t="n">
        <v>5094869.978730637</v>
      </c>
      <c r="D18" s="8" t="n">
        <v>-11833444.19988182</v>
      </c>
      <c r="E18" s="9" t="n">
        <v>0.02790071744714617</v>
      </c>
      <c r="F18" s="8" t="n">
        <v>39921914.83942572</v>
      </c>
      <c r="G18" s="9" t="n">
        <v>0.1011125809810164</v>
      </c>
    </row>
    <row r="19">
      <c r="A19" t="inlineStr">
        <is>
          <t>base</t>
        </is>
      </c>
      <c r="B19" s="8" t="n">
        <v>59478247.76461599</v>
      </c>
      <c r="C19" s="8" t="n">
        <v>23701433.61530288</v>
      </c>
      <c r="D19" s="8" t="n">
        <v>2189659.079510847</v>
      </c>
      <c r="E19" s="9" t="n">
        <v>0.1655855454277431</v>
      </c>
      <c r="F19" s="8" t="n">
        <v>28399679.23419673</v>
      </c>
      <c r="G19" s="9" t="n">
        <v>0.3984891032617645</v>
      </c>
    </row>
    <row r="20">
      <c r="A20" t="inlineStr">
        <is>
          <t>optimistic</t>
        </is>
      </c>
      <c r="B20" s="8" t="n">
        <v>65643851.317</v>
      </c>
      <c r="C20" s="8" t="n">
        <v>35661661.10749784</v>
      </c>
      <c r="D20" s="8" t="n">
        <v>12254688.4625409</v>
      </c>
      <c r="E20" s="9" t="n">
        <v>0.3148065835166363</v>
      </c>
      <c r="F20" s="8" t="n">
        <v>20382503.86183241</v>
      </c>
      <c r="G20" s="9" t="n">
        <v>0.5432597325114961</v>
      </c>
    </row>
    <row r="21">
      <c r="A21" s="2" t="inlineStr">
        <is>
          <t>Pessimistic and optimistic move lot prices, sales speed, infrastructure cost, holding time, appreciation and default to the ends of their ranges (sheet Assumptions).</t>
        </is>
      </c>
    </row>
    <row r="23">
      <c r="A23" s="10" t="inlineStr">
        <is>
          <t>What the numbers say</t>
        </is>
      </c>
    </row>
    <row r="24">
      <c r="A24" t="inlineStr">
        <is>
          <t>- The 4 subdivisions carry the portfolio: NPV of R$ 3.2 million against R$ 2.2 million in total.</t>
        </is>
      </c>
    </row>
    <row r="25">
      <c r="A25" t="inlineStr">
        <is>
          <t>- The 6 parcels sold whole return 4.1% to 10.9% a year; 6 of them are below the 14% hurdle, because holding land costs maintenance and tax while it appreciates more slowly than the hurdle rate.</t>
        </is>
      </c>
    </row>
    <row r="26">
      <c r="A26" t="inlineStr">
        <is>
          <t>- Infrastructure cost moves NPV the most: from R$ 5.9 million at R$ 80/m2 to R$ -4.0 million at R$ 160/m2.</t>
        </is>
      </c>
    </row>
    <row r="27">
      <c r="A27" t="inlineStr">
        <is>
          <t>- Cash need peaks at R$ 28.4 million in Sep 2028; the portfolio pays back in Feb 2031, 61 months after the first purchase.</t>
        </is>
      </c>
    </row>
    <row r="28">
      <c r="A28" t="inlineStr">
        <is>
          <t>- In the pessimistic scenario NPV is R$ -11.8 million and IRR 2.8%; the optimistic one reaches R$ 12.3 million.</t>
        </is>
      </c>
    </row>
    <row r="29">
      <c r="A29" t="inlineStr">
        <is>
          <t>- Subdividing beats selling whole in 4 of the 4 urban parcels where both are possible.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</cols>
  <sheetData>
    <row r="1" ht="30" customHeight="1">
      <c r="A1" s="3" t="inlineStr">
        <is>
          <t>Quarter</t>
        </is>
      </c>
      <c r="B1" s="3" t="inlineStr">
        <is>
          <t>Net cash (R$ million)</t>
        </is>
      </c>
      <c r="C1" s="3" t="inlineStr">
        <is>
          <t>Cumulative (R$ million)</t>
        </is>
      </c>
    </row>
    <row r="2">
      <c r="A2" t="inlineStr">
        <is>
          <t>2026 Q1</t>
        </is>
      </c>
      <c r="B2" s="11" t="n">
        <v>-3.51</v>
      </c>
      <c r="C2" s="11" t="n">
        <v>-3.51</v>
      </c>
    </row>
    <row r="3">
      <c r="A3" t="inlineStr">
        <is>
          <t>2026 Q2</t>
        </is>
      </c>
      <c r="B3" s="11" t="n">
        <v>-0.88</v>
      </c>
      <c r="C3" s="11" t="n">
        <v>-4.4</v>
      </c>
    </row>
    <row r="4">
      <c r="A4" t="inlineStr">
        <is>
          <t>2026 Q3</t>
        </is>
      </c>
      <c r="B4" s="11" t="n">
        <v>-3.28</v>
      </c>
      <c r="C4" s="11" t="n">
        <v>-7.67</v>
      </c>
    </row>
    <row r="5">
      <c r="A5" t="inlineStr">
        <is>
          <t>2026 Q4</t>
        </is>
      </c>
      <c r="B5" s="11" t="n">
        <v>-6.45</v>
      </c>
      <c r="C5" s="11" t="n">
        <v>-14.12</v>
      </c>
    </row>
    <row r="6">
      <c r="A6" t="inlineStr">
        <is>
          <t>2027 Q1</t>
        </is>
      </c>
      <c r="B6" s="11" t="n">
        <v>-4.9</v>
      </c>
      <c r="C6" s="11" t="n">
        <v>-19.02</v>
      </c>
    </row>
    <row r="7">
      <c r="A7" t="inlineStr">
        <is>
          <t>2027 Q2</t>
        </is>
      </c>
      <c r="B7" s="11" t="n">
        <v>-0.61</v>
      </c>
      <c r="C7" s="11" t="n">
        <v>-19.63</v>
      </c>
    </row>
    <row r="8">
      <c r="A8" t="inlineStr">
        <is>
          <t>2027 Q3</t>
        </is>
      </c>
      <c r="B8" s="11" t="n">
        <v>-1.45</v>
      </c>
      <c r="C8" s="11" t="n">
        <v>-21.08</v>
      </c>
    </row>
    <row r="9">
      <c r="A9" t="inlineStr">
        <is>
          <t>2027 Q4</t>
        </is>
      </c>
      <c r="B9" s="11" t="n">
        <v>-2.25</v>
      </c>
      <c r="C9" s="11" t="n">
        <v>-23.33</v>
      </c>
    </row>
    <row r="10">
      <c r="A10" t="inlineStr">
        <is>
          <t>2028 Q1</t>
        </is>
      </c>
      <c r="B10" s="11" t="n">
        <v>-2.72</v>
      </c>
      <c r="C10" s="11" t="n">
        <v>-26.05</v>
      </c>
    </row>
    <row r="11">
      <c r="A11" t="inlineStr">
        <is>
          <t>2028 Q2</t>
        </is>
      </c>
      <c r="B11" s="11" t="n">
        <v>-2.09</v>
      </c>
      <c r="C11" s="11" t="n">
        <v>-28.15</v>
      </c>
    </row>
    <row r="12">
      <c r="A12" t="inlineStr">
        <is>
          <t>2028 Q3</t>
        </is>
      </c>
      <c r="B12" s="11" t="n">
        <v>-0.25</v>
      </c>
      <c r="C12" s="11" t="n">
        <v>-28.4</v>
      </c>
    </row>
    <row r="13">
      <c r="A13" t="inlineStr">
        <is>
          <t>2028 Q4</t>
        </is>
      </c>
      <c r="B13" s="11" t="n">
        <v>1.42</v>
      </c>
      <c r="C13" s="11" t="n">
        <v>-26.98</v>
      </c>
    </row>
    <row r="14">
      <c r="A14" t="inlineStr">
        <is>
          <t>2029 Q1</t>
        </is>
      </c>
      <c r="B14" s="11" t="n">
        <v>2.59</v>
      </c>
      <c r="C14" s="11" t="n">
        <v>-24.39</v>
      </c>
    </row>
    <row r="15">
      <c r="A15" t="inlineStr">
        <is>
          <t>2029 Q2</t>
        </is>
      </c>
      <c r="B15" s="11" t="n">
        <v>4.39</v>
      </c>
      <c r="C15" s="11" t="n">
        <v>-20</v>
      </c>
    </row>
    <row r="16">
      <c r="A16" t="inlineStr">
        <is>
          <t>2029 Q3</t>
        </is>
      </c>
      <c r="B16" s="11" t="n">
        <v>3.72</v>
      </c>
      <c r="C16" s="11" t="n">
        <v>-16.28</v>
      </c>
    </row>
    <row r="17">
      <c r="A17" t="inlineStr">
        <is>
          <t>2029 Q4</t>
        </is>
      </c>
      <c r="B17" s="11" t="n">
        <v>3.52</v>
      </c>
      <c r="C17" s="11" t="n">
        <v>-12.76</v>
      </c>
    </row>
    <row r="18">
      <c r="A18" t="inlineStr">
        <is>
          <t>2030 Q1</t>
        </is>
      </c>
      <c r="B18" s="11" t="n">
        <v>3.54</v>
      </c>
      <c r="C18" s="11" t="n">
        <v>-9.220000000000001</v>
      </c>
    </row>
    <row r="19">
      <c r="A19" t="inlineStr">
        <is>
          <t>2030 Q2</t>
        </is>
      </c>
      <c r="B19" s="11" t="n">
        <v>3.24</v>
      </c>
      <c r="C19" s="11" t="n">
        <v>-5.98</v>
      </c>
    </row>
    <row r="20">
      <c r="A20" t="inlineStr">
        <is>
          <t>2030 Q3</t>
        </is>
      </c>
      <c r="B20" s="11" t="n">
        <v>2.64</v>
      </c>
      <c r="C20" s="11" t="n">
        <v>-3.34</v>
      </c>
    </row>
    <row r="21">
      <c r="A21" t="inlineStr">
        <is>
          <t>2030 Q4</t>
        </is>
      </c>
      <c r="B21" s="11" t="n">
        <v>2.27</v>
      </c>
      <c r="C21" s="11" t="n">
        <v>-1.07</v>
      </c>
    </row>
    <row r="22">
      <c r="A22" t="inlineStr">
        <is>
          <t>2031 Q1</t>
        </is>
      </c>
      <c r="B22" s="11" t="n">
        <v>1.81</v>
      </c>
      <c r="C22" s="11" t="n">
        <v>0.74</v>
      </c>
    </row>
    <row r="23">
      <c r="A23" t="inlineStr">
        <is>
          <t>2031 Q2</t>
        </is>
      </c>
      <c r="B23" s="11" t="n">
        <v>1.83</v>
      </c>
      <c r="C23" s="11" t="n">
        <v>2.58</v>
      </c>
    </row>
    <row r="24">
      <c r="A24" t="inlineStr">
        <is>
          <t>2031 Q3</t>
        </is>
      </c>
      <c r="B24" s="11" t="n">
        <v>1.85</v>
      </c>
      <c r="C24" s="11" t="n">
        <v>4.43</v>
      </c>
    </row>
    <row r="25">
      <c r="A25" t="inlineStr">
        <is>
          <t>2031 Q4</t>
        </is>
      </c>
      <c r="B25" s="11" t="n">
        <v>1.87</v>
      </c>
      <c r="C25" s="11" t="n">
        <v>6.31</v>
      </c>
    </row>
    <row r="26">
      <c r="A26" t="inlineStr">
        <is>
          <t>2032 Q1</t>
        </is>
      </c>
      <c r="B26" s="11" t="n">
        <v>1.9</v>
      </c>
      <c r="C26" s="11" t="n">
        <v>8.199999999999999</v>
      </c>
    </row>
    <row r="27">
      <c r="A27" t="inlineStr">
        <is>
          <t>2032 Q2</t>
        </is>
      </c>
      <c r="B27" s="11" t="n">
        <v>1.9</v>
      </c>
      <c r="C27" s="11" t="n">
        <v>10.1</v>
      </c>
    </row>
    <row r="28">
      <c r="A28" t="inlineStr">
        <is>
          <t>2032 Q3</t>
        </is>
      </c>
      <c r="B28" s="11" t="n">
        <v>1.87</v>
      </c>
      <c r="C28" s="11" t="n">
        <v>11.97</v>
      </c>
    </row>
    <row r="29">
      <c r="A29" t="inlineStr">
        <is>
          <t>2032 Q4</t>
        </is>
      </c>
      <c r="B29" s="11" t="n">
        <v>1.81</v>
      </c>
      <c r="C29" s="11" t="n">
        <v>13.78</v>
      </c>
    </row>
    <row r="30">
      <c r="A30" t="inlineStr">
        <is>
          <t>2033 Q1</t>
        </is>
      </c>
      <c r="B30" s="11" t="n">
        <v>1.69</v>
      </c>
      <c r="C30" s="11" t="n">
        <v>15.47</v>
      </c>
    </row>
    <row r="31">
      <c r="A31" t="inlineStr">
        <is>
          <t>2033 Q2</t>
        </is>
      </c>
      <c r="B31" s="11" t="n">
        <v>1.54</v>
      </c>
      <c r="C31" s="11" t="n">
        <v>17.01</v>
      </c>
    </row>
    <row r="32">
      <c r="A32" t="inlineStr">
        <is>
          <t>2033 Q3</t>
        </is>
      </c>
      <c r="B32" s="11" t="n">
        <v>1.38</v>
      </c>
      <c r="C32" s="11" t="n">
        <v>18.39</v>
      </c>
    </row>
    <row r="33">
      <c r="A33" t="inlineStr">
        <is>
          <t>2033 Q4</t>
        </is>
      </c>
      <c r="B33" s="11" t="n">
        <v>1.22</v>
      </c>
      <c r="C33" s="11" t="n">
        <v>19.62</v>
      </c>
    </row>
    <row r="34">
      <c r="A34" t="inlineStr">
        <is>
          <t>2034 Q1</t>
        </is>
      </c>
      <c r="B34" s="11" t="n">
        <v>1.06</v>
      </c>
      <c r="C34" s="11" t="n">
        <v>20.68</v>
      </c>
    </row>
    <row r="35">
      <c r="A35" t="inlineStr">
        <is>
          <t>2034 Q2</t>
        </is>
      </c>
      <c r="B35" s="11" t="n">
        <v>0.9</v>
      </c>
      <c r="C35" s="11" t="n">
        <v>21.58</v>
      </c>
    </row>
    <row r="36">
      <c r="A36" t="inlineStr">
        <is>
          <t>2034 Q3</t>
        </is>
      </c>
      <c r="B36" s="11" t="n">
        <v>0.74</v>
      </c>
      <c r="C36" s="11" t="n">
        <v>22.31</v>
      </c>
    </row>
    <row r="37">
      <c r="A37" t="inlineStr">
        <is>
          <t>2034 Q4</t>
        </is>
      </c>
      <c r="B37" s="11" t="n">
        <v>0.57</v>
      </c>
      <c r="C37" s="11" t="n">
        <v>22.88</v>
      </c>
    </row>
    <row r="38">
      <c r="A38" t="inlineStr">
        <is>
          <t>2035 Q1</t>
        </is>
      </c>
      <c r="B38" s="11" t="n">
        <v>0.4</v>
      </c>
      <c r="C38" s="11" t="n">
        <v>23.29</v>
      </c>
    </row>
    <row r="39">
      <c r="A39" t="inlineStr">
        <is>
          <t>2035 Q2</t>
        </is>
      </c>
      <c r="B39" s="11" t="n">
        <v>0.25</v>
      </c>
      <c r="C39" s="11" t="n">
        <v>23.54</v>
      </c>
    </row>
    <row r="40">
      <c r="A40" t="inlineStr">
        <is>
          <t>2035 Q3</t>
        </is>
      </c>
      <c r="B40" s="11" t="n">
        <v>0.12</v>
      </c>
      <c r="C40" s="11" t="n">
        <v>23.66</v>
      </c>
    </row>
    <row r="41">
      <c r="A41" t="inlineStr">
        <is>
          <t>2035 Q4</t>
        </is>
      </c>
      <c r="B41" s="11" t="n">
        <v>0.04</v>
      </c>
      <c r="C41" s="1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2" customWidth="1" min="3" max="3"/>
    <col width="28" customWidth="1" min="4" max="4"/>
    <col width="11" customWidth="1" min="5" max="5"/>
    <col width="14" customWidth="1" min="6" max="6"/>
    <col width="11" customWidth="1" min="7" max="7"/>
    <col width="14" customWidth="1" min="8" max="8"/>
    <col width="11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15" customWidth="1" min="15" max="15"/>
    <col width="19" customWidth="1" min="16" max="16"/>
    <col width="15" customWidth="1" min="17" max="17"/>
    <col width="22" customWidth="1" min="18" max="18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Kind</t>
        </is>
      </c>
      <c r="D1" s="3" t="inlineStr">
        <is>
          <t>Town</t>
        </is>
      </c>
      <c r="E1" s="3" t="inlineStr">
        <is>
          <t>Area m2</t>
        </is>
      </c>
      <c r="F1" s="3" t="inlineStr">
        <is>
          <t>Acquisition</t>
        </is>
      </c>
      <c r="G1" s="3" t="inlineStr">
        <is>
          <t>Bought</t>
        </is>
      </c>
      <c r="H1" s="3" t="inlineStr">
        <is>
          <t>Strategy</t>
        </is>
      </c>
      <c r="I1" s="3" t="inlineStr">
        <is>
          <t>Lots</t>
        </is>
      </c>
      <c r="J1" s="3" t="inlineStr">
        <is>
          <t>VGV</t>
        </is>
      </c>
      <c r="K1" s="3" t="inlineStr">
        <is>
          <t>Profit</t>
        </is>
      </c>
      <c r="L1" s="3" t="inlineStr">
        <is>
          <t>Margin</t>
        </is>
      </c>
      <c r="M1" s="3" t="inlineStr">
        <is>
          <t>NPV</t>
        </is>
      </c>
      <c r="N1" s="3" t="inlineStr">
        <is>
          <t>IRR</t>
        </is>
      </c>
      <c r="O1" s="3" t="inlineStr">
        <is>
          <t>Max exposure</t>
        </is>
      </c>
      <c r="P1" s="3" t="inlineStr">
        <is>
          <t>Payback (months)</t>
        </is>
      </c>
      <c r="Q1" s="3" t="inlineStr">
        <is>
          <t>ROI per year</t>
        </is>
      </c>
      <c r="R1" s="3" t="inlineStr">
        <is>
          <t>AI memo</t>
        </is>
      </c>
    </row>
    <row r="2">
      <c r="A2" t="inlineStr">
        <is>
          <t>T01</t>
        </is>
      </c>
      <c r="B2" t="inlineStr">
        <is>
          <t>Sítio Pinheirinho</t>
        </is>
      </c>
      <c r="C2" t="inlineStr">
        <is>
          <t>rural</t>
        </is>
      </c>
      <c r="D2" t="inlineStr">
        <is>
          <t>Município B (interior de SP)</t>
        </is>
      </c>
      <c r="E2" s="12" t="n">
        <v>54000</v>
      </c>
      <c r="F2" s="8" t="n">
        <v>693000</v>
      </c>
      <c r="G2" t="inlineStr">
        <is>
          <t>2026-01</t>
        </is>
      </c>
      <c r="H2" t="inlineStr">
        <is>
          <t>whole</t>
        </is>
      </c>
      <c r="I2" s="12" t="n">
        <v>1</v>
      </c>
      <c r="J2" s="8" t="n">
        <v>1124426.126567343</v>
      </c>
      <c r="K2" s="8" t="n">
        <v>254822.9348552079</v>
      </c>
      <c r="L2" s="9" t="n">
        <v>0.2266248789799409</v>
      </c>
      <c r="M2" s="8" t="n">
        <v>-56548.67390559974</v>
      </c>
      <c r="N2" s="9" t="n">
        <v>0.1087412870681042</v>
      </c>
      <c r="O2" s="8" t="n">
        <v>764282.5</v>
      </c>
      <c r="P2" s="12" t="n">
        <v>38</v>
      </c>
      <c r="Q2" s="9" t="n">
        <v>0.08361250925960939</v>
      </c>
      <c r="R2" t="inlineStr">
        <is>
          <t>do not invest</t>
        </is>
      </c>
    </row>
    <row r="3">
      <c r="A3" t="inlineStr">
        <is>
          <t>T02</t>
        </is>
      </c>
      <c r="B3" t="inlineStr">
        <is>
          <t>Área Jardim Novo</t>
        </is>
      </c>
      <c r="C3" t="inlineStr">
        <is>
          <t>urban</t>
        </is>
      </c>
      <c r="D3" t="inlineStr">
        <is>
          <t>Município A (interior de SP)</t>
        </is>
      </c>
      <c r="E3" s="12" t="n">
        <v>33800</v>
      </c>
      <c r="F3" s="8" t="n">
        <v>2648000</v>
      </c>
      <c r="G3" t="inlineStr">
        <is>
          <t>2026-03</t>
        </is>
      </c>
      <c r="H3" t="inlineStr">
        <is>
          <t>subdivision</t>
        </is>
      </c>
      <c r="I3" s="12" t="n">
        <v>67</v>
      </c>
      <c r="J3" s="8" t="n">
        <v>8582700</v>
      </c>
      <c r="K3" s="8" t="n">
        <v>3572059.787572104</v>
      </c>
      <c r="L3" s="9" t="n">
        <v>0.4161930147357014</v>
      </c>
      <c r="M3" s="8" t="n">
        <v>315228.6276130653</v>
      </c>
      <c r="N3" s="9" t="n">
        <v>0.1621736180559723</v>
      </c>
      <c r="O3" s="8" t="n">
        <v>4328382.400776555</v>
      </c>
      <c r="P3" s="12" t="n">
        <v>56</v>
      </c>
      <c r="Q3" s="9" t="n">
        <v>0.06914398618059536</v>
      </c>
      <c r="R3" t="inlineStr">
        <is>
          <t>invest with conditions</t>
        </is>
      </c>
    </row>
    <row r="4">
      <c r="A4" t="inlineStr">
        <is>
          <t>T03</t>
        </is>
      </c>
      <c r="B4" t="inlineStr">
        <is>
          <t>Chácara Água Limpa</t>
        </is>
      </c>
      <c r="C4" t="inlineStr">
        <is>
          <t>rural</t>
        </is>
      </c>
      <c r="D4" t="inlineStr">
        <is>
          <t>Município A (interior de SP)</t>
        </is>
      </c>
      <c r="E4" s="12" t="n">
        <v>75500</v>
      </c>
      <c r="F4" s="8" t="n">
        <v>755000</v>
      </c>
      <c r="G4" t="inlineStr">
        <is>
          <t>2026-04</t>
        </is>
      </c>
      <c r="H4" t="inlineStr">
        <is>
          <t>whole</t>
        </is>
      </c>
      <c r="I4" s="12" t="n">
        <v>1</v>
      </c>
      <c r="J4" s="8" t="n">
        <v>1222755.571791854</v>
      </c>
      <c r="K4" s="8" t="n">
        <v>265787.237285962</v>
      </c>
      <c r="L4" s="9" t="n">
        <v>0.2173674309220046</v>
      </c>
      <c r="M4" s="8" t="n">
        <v>-71376.25490764024</v>
      </c>
      <c r="N4" s="9" t="n">
        <v>0.1038670481082993</v>
      </c>
      <c r="O4" s="8" t="n">
        <v>842437.5</v>
      </c>
      <c r="P4" s="12" t="n">
        <v>38</v>
      </c>
      <c r="Q4" s="9" t="n">
        <v>0.07952936483019624</v>
      </c>
      <c r="R4" t="inlineStr">
        <is>
          <t>do not invest</t>
        </is>
      </c>
    </row>
    <row r="5">
      <c r="A5" t="inlineStr">
        <is>
          <t>T04</t>
        </is>
      </c>
      <c r="B5" t="inlineStr">
        <is>
          <t>Gleba Boa Vista</t>
        </is>
      </c>
      <c r="C5" t="inlineStr">
        <is>
          <t>expansion</t>
        </is>
      </c>
      <c r="D5" t="inlineStr">
        <is>
          <t>Município B (interior de SP)</t>
        </is>
      </c>
      <c r="E5" s="12" t="n">
        <v>68000</v>
      </c>
      <c r="F5" s="8" t="n">
        <v>2956000</v>
      </c>
      <c r="G5" t="inlineStr">
        <is>
          <t>2026-07</t>
        </is>
      </c>
      <c r="H5" t="inlineStr">
        <is>
          <t>subdivision</t>
        </is>
      </c>
      <c r="I5" s="12" t="n">
        <v>136</v>
      </c>
      <c r="J5" s="8" t="n">
        <v>12566400</v>
      </c>
      <c r="K5" s="8" t="n">
        <v>4804336.439708525</v>
      </c>
      <c r="L5" s="9" t="n">
        <v>0.3823160523068281</v>
      </c>
      <c r="M5" s="8" t="n">
        <v>271873.2580449328</v>
      </c>
      <c r="N5" s="9" t="n">
        <v>0.153674782407454</v>
      </c>
      <c r="O5" s="8" t="n">
        <v>6757663.544243443</v>
      </c>
      <c r="P5" s="12" t="n">
        <v>59</v>
      </c>
      <c r="Q5" s="9" t="n">
        <v>0.06148816281483471</v>
      </c>
      <c r="R5" t="inlineStr">
        <is>
          <t>invest with conditions</t>
        </is>
      </c>
    </row>
    <row r="6">
      <c r="A6" t="inlineStr">
        <is>
          <t>T05</t>
        </is>
      </c>
      <c r="B6" t="inlineStr">
        <is>
          <t>Gleba Santa Rita</t>
        </is>
      </c>
      <c r="C6" t="inlineStr">
        <is>
          <t>expansion</t>
        </is>
      </c>
      <c r="D6" t="inlineStr">
        <is>
          <t>Município A (interior de SP)</t>
        </is>
      </c>
      <c r="E6" s="12" t="n">
        <v>73600</v>
      </c>
      <c r="F6" s="8" t="n">
        <v>3016000</v>
      </c>
      <c r="G6" t="inlineStr">
        <is>
          <t>2026-10</t>
        </is>
      </c>
      <c r="H6" t="inlineStr">
        <is>
          <t>subdivision</t>
        </is>
      </c>
      <c r="I6" s="12" t="n">
        <v>147</v>
      </c>
      <c r="J6" s="8" t="n">
        <v>13406400</v>
      </c>
      <c r="K6" s="8" t="n">
        <v>5205962.377268744</v>
      </c>
      <c r="L6" s="9" t="n">
        <v>0.3883191891386759</v>
      </c>
      <c r="M6" s="8" t="n">
        <v>381690.767499178</v>
      </c>
      <c r="N6" s="9" t="n">
        <v>0.1582845948112732</v>
      </c>
      <c r="O6" s="8" t="n">
        <v>7129130.850411447</v>
      </c>
      <c r="P6" s="12" t="n">
        <v>59</v>
      </c>
      <c r="Q6" s="9" t="n">
        <v>0.06281140357076387</v>
      </c>
      <c r="R6" t="inlineStr">
        <is>
          <t>invest with conditions</t>
        </is>
      </c>
    </row>
    <row r="7">
      <c r="A7" t="inlineStr">
        <is>
          <t>T06</t>
        </is>
      </c>
      <c r="B7" t="inlineStr">
        <is>
          <t>Área Avenida Central</t>
        </is>
      </c>
      <c r="C7" t="inlineStr">
        <is>
          <t>urban</t>
        </is>
      </c>
      <c r="D7" t="inlineStr">
        <is>
          <t>Município C (sul de MG)</t>
        </is>
      </c>
      <c r="E7" s="12" t="n">
        <v>10000</v>
      </c>
      <c r="F7" s="8" t="n">
        <v>1113000</v>
      </c>
      <c r="G7" t="inlineStr">
        <is>
          <t>2026-10</t>
        </is>
      </c>
      <c r="H7" t="inlineStr">
        <is>
          <t>whole</t>
        </is>
      </c>
      <c r="I7" s="12" t="n">
        <v>1</v>
      </c>
      <c r="J7" s="8" t="n">
        <v>1723657.333935536</v>
      </c>
      <c r="K7" s="8" t="n">
        <v>347298.9484920369</v>
      </c>
      <c r="L7" s="9" t="n">
        <v>0.2014895545967176</v>
      </c>
      <c r="M7" s="8" t="n">
        <v>-130837.8144775225</v>
      </c>
      <c r="N7" s="9" t="n">
        <v>0.09412286970416051</v>
      </c>
      <c r="O7" s="8" t="n">
        <v>1214910</v>
      </c>
      <c r="P7" s="12" t="n">
        <v>38</v>
      </c>
      <c r="Q7" s="9" t="n">
        <v>0.07268702438337837</v>
      </c>
      <c r="R7" t="inlineStr">
        <is>
          <t>do not invest</t>
        </is>
      </c>
    </row>
    <row r="8">
      <c r="A8" t="inlineStr">
        <is>
          <t>T07</t>
        </is>
      </c>
      <c r="B8" t="inlineStr">
        <is>
          <t>Terreno Esquina Comercial</t>
        </is>
      </c>
      <c r="C8" t="inlineStr">
        <is>
          <t>urban</t>
        </is>
      </c>
      <c r="D8" t="inlineStr">
        <is>
          <t>Município A (interior de SP)</t>
        </is>
      </c>
      <c r="E8" s="12" t="n">
        <v>4000</v>
      </c>
      <c r="F8" s="8" t="n">
        <v>1074000</v>
      </c>
      <c r="G8" t="inlineStr">
        <is>
          <t>2026-11</t>
        </is>
      </c>
      <c r="H8" t="inlineStr">
        <is>
          <t>whole</t>
        </is>
      </c>
      <c r="I8" s="12" t="n">
        <v>1</v>
      </c>
      <c r="J8" s="8" t="n">
        <v>1476098.495370298</v>
      </c>
      <c r="K8" s="8" t="n">
        <v>179057.9988428451</v>
      </c>
      <c r="L8" s="9" t="n">
        <v>0.121304912513935</v>
      </c>
      <c r="M8" s="8" t="n">
        <v>-231537.9190980951</v>
      </c>
      <c r="N8" s="9" t="n">
        <v>0.05248318040778854</v>
      </c>
      <c r="O8" s="8" t="n">
        <v>1158780</v>
      </c>
      <c r="P8" s="12" t="n">
        <v>40</v>
      </c>
      <c r="Q8" s="9" t="n">
        <v>0.0409135483645453</v>
      </c>
      <c r="R8" t="inlineStr">
        <is>
          <t>do not invest</t>
        </is>
      </c>
    </row>
    <row r="9">
      <c r="A9" t="inlineStr">
        <is>
          <t>T08</t>
        </is>
      </c>
      <c r="B9" t="inlineStr">
        <is>
          <t>Área Vila Operária</t>
        </is>
      </c>
      <c r="C9" t="inlineStr">
        <is>
          <t>urban</t>
        </is>
      </c>
      <c r="D9" t="inlineStr">
        <is>
          <t>Município A (interior de SP)</t>
        </is>
      </c>
      <c r="E9" s="12" t="n">
        <v>7700</v>
      </c>
      <c r="F9" s="8" t="n">
        <v>705000</v>
      </c>
      <c r="G9" t="inlineStr">
        <is>
          <t>2026-11</t>
        </is>
      </c>
      <c r="H9" t="inlineStr">
        <is>
          <t>whole</t>
        </is>
      </c>
      <c r="I9" s="12" t="n">
        <v>1</v>
      </c>
      <c r="J9" s="8" t="n">
        <v>953101.5284761668</v>
      </c>
      <c r="K9" s="8" t="n">
        <v>90998.15614938876</v>
      </c>
      <c r="L9" s="9" t="n">
        <v>0.09547582647871522</v>
      </c>
      <c r="M9" s="8" t="n">
        <v>-172326.812529678</v>
      </c>
      <c r="N9" s="9" t="n">
        <v>0.04068249179107464</v>
      </c>
      <c r="O9" s="8" t="n">
        <v>772830</v>
      </c>
      <c r="P9" s="12" t="n">
        <v>41</v>
      </c>
      <c r="Q9" s="9" t="n">
        <v>0.03155212186317868</v>
      </c>
      <c r="R9" t="inlineStr">
        <is>
          <t>do not invest</t>
        </is>
      </c>
    </row>
    <row r="10">
      <c r="A10" t="inlineStr">
        <is>
          <t>T09</t>
        </is>
      </c>
      <c r="B10" t="inlineStr">
        <is>
          <t>Gleba Ribeirão Claro</t>
        </is>
      </c>
      <c r="C10" t="inlineStr">
        <is>
          <t>expansion</t>
        </is>
      </c>
      <c r="D10" t="inlineStr">
        <is>
          <t>Município C (sul de MG)</t>
        </is>
      </c>
      <c r="E10" s="12" t="n">
        <v>76200</v>
      </c>
      <c r="F10" s="8" t="n">
        <v>3563000</v>
      </c>
      <c r="G10" t="inlineStr">
        <is>
          <t>2027-01</t>
        </is>
      </c>
      <c r="H10" t="inlineStr">
        <is>
          <t>subdivision</t>
        </is>
      </c>
      <c r="I10" s="12" t="n">
        <v>152</v>
      </c>
      <c r="J10" s="8" t="n">
        <v>17601600</v>
      </c>
      <c r="K10" s="8" t="n">
        <v>8874451.13671219</v>
      </c>
      <c r="L10" s="9" t="n">
        <v>0.5041843432819851</v>
      </c>
      <c r="M10" s="8" t="n">
        <v>2271440.117503099</v>
      </c>
      <c r="N10" s="9" t="n">
        <v>0.2349764984974387</v>
      </c>
      <c r="O10" s="8" t="n">
        <v>7335669.427898913</v>
      </c>
      <c r="P10" s="12" t="n">
        <v>49</v>
      </c>
      <c r="Q10" s="9" t="n">
        <v>0.09209576109290363</v>
      </c>
      <c r="R10" t="inlineStr">
        <is>
          <t>invest with conditions</t>
        </is>
      </c>
    </row>
    <row r="11">
      <c r="A11" t="inlineStr">
        <is>
          <t>T10</t>
        </is>
      </c>
      <c r="B11" t="inlineStr">
        <is>
          <t>Terreno Rua das Acácias</t>
        </is>
      </c>
      <c r="C11" t="inlineStr">
        <is>
          <t>urban</t>
        </is>
      </c>
      <c r="D11" t="inlineStr">
        <is>
          <t>Município B (interior de SP)</t>
        </is>
      </c>
      <c r="E11" s="12" t="n">
        <v>2600</v>
      </c>
      <c r="F11" s="8" t="n">
        <v>590000</v>
      </c>
      <c r="G11" t="inlineStr">
        <is>
          <t>2027-02</t>
        </is>
      </c>
      <c r="H11" t="inlineStr">
        <is>
          <t>whole</t>
        </is>
      </c>
      <c r="I11" s="12" t="n">
        <v>1</v>
      </c>
      <c r="J11" s="8" t="n">
        <v>821108.7084747945</v>
      </c>
      <c r="K11" s="8" t="n">
        <v>106658.5984158723</v>
      </c>
      <c r="L11" s="9" t="n">
        <v>0.1298958314715601</v>
      </c>
      <c r="M11" s="8" t="n">
        <v>-121641.6049026842</v>
      </c>
      <c r="N11" s="9" t="n">
        <v>0.05665197546529055</v>
      </c>
      <c r="O11" s="8" t="n">
        <v>637539.9999999988</v>
      </c>
      <c r="P11" s="12" t="n">
        <v>40</v>
      </c>
      <c r="Q11" s="9" t="n">
        <v>0.04411491678356794</v>
      </c>
      <c r="R11" t="inlineStr">
        <is>
          <t>do not invest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34" customWidth="1" min="5" max="5"/>
    <col width="110" customWidth="1" min="6" max="6"/>
  </cols>
  <sheetData>
    <row r="1" ht="30" customHeight="1">
      <c r="A1" s="3" t="inlineStr">
        <is>
          <t>Assumption</t>
        </is>
      </c>
      <c r="B1" s="3" t="inlineStr">
        <is>
          <t>Base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Source</t>
        </is>
      </c>
    </row>
    <row r="2">
      <c r="A2" t="inlineStr">
        <is>
          <t>itbi_rate</t>
        </is>
      </c>
      <c r="B2" t="n">
        <v>0.03</v>
      </c>
      <c r="C2" t="n">
        <v>0.02</v>
      </c>
      <c r="D2" t="n">
        <v>0.03</v>
      </c>
      <c r="E2" t="inlineStr">
        <is>
          <t>share of price</t>
        </is>
      </c>
      <c r="F2" s="13" t="inlineStr">
        <is>
          <t>municipal transfer tax (Constitution art. 156, II); 2-3% is the common rate (illustrative)</t>
        </is>
      </c>
    </row>
    <row r="3">
      <c r="A3" t="inlineStr">
        <is>
          <t>deed_registry_rate</t>
        </is>
      </c>
      <c r="B3" t="n">
        <v>0.015</v>
      </c>
      <c r="C3" t="n">
        <v>0.01</v>
      </c>
      <c r="D3" t="n">
        <v>0.02</v>
      </c>
      <c r="E3" t="inlineStr">
        <is>
          <t>share of price</t>
        </is>
      </c>
      <c r="F3" s="13" t="inlineStr">
        <is>
          <t>deed and registry fees follow state fee tables (in SP, Lei 11.331/2002); 1-2% of the price in total (illustrative)</t>
        </is>
      </c>
    </row>
    <row r="4">
      <c r="A4" t="inlineStr">
        <is>
          <t>saleable_ratio</t>
        </is>
      </c>
      <c r="B4" t="n">
        <v>0.6</v>
      </c>
      <c r="C4" t="n">
        <v>0.55</v>
      </c>
      <c r="D4" t="n">
        <v>0.65</v>
      </c>
      <c r="E4" t="inlineStr">
        <is>
          <t>share of gross area</t>
        </is>
      </c>
      <c r="F4" s="13" t="inlineStr">
        <is>
          <t>streets and public areas are set by municipal law under Lei 6.766/1979 (illustrative)</t>
        </is>
      </c>
    </row>
    <row r="5">
      <c r="A5" t="inlineStr">
        <is>
          <t>lot_size_m2</t>
        </is>
      </c>
      <c r="B5" t="n">
        <v>300</v>
      </c>
      <c r="C5" t="n">
        <v>250</v>
      </c>
      <c r="D5" t="n">
        <v>360</v>
      </c>
      <c r="E5" t="inlineStr">
        <is>
          <t>m2</t>
        </is>
      </c>
      <c r="F5" s="13" t="inlineStr">
        <is>
          <t>illustrative</t>
        </is>
      </c>
    </row>
    <row r="6">
      <c r="A6" t="inlineStr">
        <is>
          <t>topography_per_m2</t>
        </is>
      </c>
      <c r="B6" t="n">
        <v>0.5</v>
      </c>
      <c r="C6" t="n">
        <v>0.3</v>
      </c>
      <c r="D6" t="n">
        <v>0.8</v>
      </c>
      <c r="E6" t="inlineStr">
        <is>
          <t>R$/m2 gross</t>
        </is>
      </c>
      <c r="F6" s="13" t="inlineStr">
        <is>
          <t>illustrative</t>
        </is>
      </c>
    </row>
    <row r="7">
      <c r="A7" t="inlineStr">
        <is>
          <t>approval_per_m2</t>
        </is>
      </c>
      <c r="B7" t="n">
        <v>2.5</v>
      </c>
      <c r="C7" t="n">
        <v>1.5</v>
      </c>
      <c r="D7" t="n">
        <v>4</v>
      </c>
      <c r="E7" t="inlineStr">
        <is>
          <t>R$/m2 gross</t>
        </is>
      </c>
      <c r="F7" s="13" t="inlineStr">
        <is>
          <t>urban, environmental and city approval projects (illustrative)</t>
        </is>
      </c>
    </row>
    <row r="8">
      <c r="A8" t="inlineStr">
        <is>
          <t>approval_months</t>
        </is>
      </c>
      <c r="B8" t="n">
        <v>12</v>
      </c>
      <c r="C8" t="n">
        <v>8</v>
      </c>
      <c r="D8" t="n">
        <v>24</v>
      </c>
      <c r="E8" t="inlineStr">
        <is>
          <t>months</t>
        </is>
      </c>
      <c r="F8" s="13" t="inlineStr">
        <is>
          <t>illustrative</t>
        </is>
      </c>
    </row>
    <row r="9">
      <c r="A9" t="inlineStr">
        <is>
          <t>infra_per_m2</t>
        </is>
      </c>
      <c r="B9" t="n">
        <v>110</v>
      </c>
      <c r="C9" t="n">
        <v>80</v>
      </c>
      <c r="D9" t="n">
        <v>160</v>
      </c>
      <c r="E9" t="inlineStr">
        <is>
          <t>R$/m2 saleable</t>
        </is>
      </c>
      <c r="F9" s="13" t="inlineStr">
        <is>
          <t>streets, drainage, water, sewage, power (illustrative)</t>
        </is>
      </c>
    </row>
    <row r="10">
      <c r="A10" t="inlineStr">
        <is>
          <t>infra_months</t>
        </is>
      </c>
      <c r="B10" t="n">
        <v>12</v>
      </c>
      <c r="C10" t="n">
        <v>9</v>
      </c>
      <c r="D10" t="n">
        <v>18</v>
      </c>
      <c r="E10" t="inlineStr">
        <is>
          <t>months</t>
        </is>
      </c>
      <c r="F10" s="13" t="inlineStr">
        <is>
          <t>illustrative</t>
        </is>
      </c>
    </row>
    <row r="11">
      <c r="A11" t="inlineStr">
        <is>
          <t>labor_rate</t>
        </is>
      </c>
      <c r="B11" t="n">
        <v>0.08</v>
      </c>
      <c r="C11" t="n">
        <v>0.05</v>
      </c>
      <c r="D11" t="n">
        <v>0.12</v>
      </c>
      <c r="E11" t="inlineStr">
        <is>
          <t>share of infrastructure</t>
        </is>
      </c>
      <c r="F11" s="13" t="inlineStr">
        <is>
          <t>site labor and management (illustrative)</t>
        </is>
      </c>
    </row>
    <row r="12">
      <c r="A12" t="inlineStr">
        <is>
          <t>gatehouse</t>
        </is>
      </c>
      <c r="B12" t="n">
        <v>80000</v>
      </c>
      <c r="C12" t="n">
        <v>50000</v>
      </c>
      <c r="D12" t="n">
        <v>120000</v>
      </c>
      <c r="E12" t="inlineStr">
        <is>
          <t>R$ per subdivision</t>
        </is>
      </c>
      <c r="F12" s="13" t="inlineStr">
        <is>
          <t>small constructions: gatehouse and sales stand (illustrative)</t>
        </is>
      </c>
    </row>
    <row r="13">
      <c r="A13" t="inlineStr">
        <is>
          <t>fence_per_m</t>
        </is>
      </c>
      <c r="B13" t="n">
        <v>60</v>
      </c>
      <c r="C13" t="n">
        <v>40</v>
      </c>
      <c r="D13" t="n">
        <v>90</v>
      </c>
      <c r="E13" t="inlineStr">
        <is>
          <t>R$/m of perimeter</t>
        </is>
      </c>
      <c r="F13" s="13" t="inlineStr">
        <is>
          <t>illustrative</t>
        </is>
      </c>
    </row>
    <row r="14">
      <c r="A14" t="inlineStr">
        <is>
          <t>marketing_rate</t>
        </is>
      </c>
      <c r="B14" t="n">
        <v>0.015</v>
      </c>
      <c r="C14" t="n">
        <v>0.01</v>
      </c>
      <c r="D14" t="n">
        <v>0.025</v>
      </c>
      <c r="E14" t="inlineStr">
        <is>
          <t>share of VGV</t>
        </is>
      </c>
      <c r="F14" s="13" t="inlineStr">
        <is>
          <t>illustrative</t>
        </is>
      </c>
    </row>
    <row r="15">
      <c r="A15" t="inlineStr">
        <is>
          <t>maintenance_per_m2_month</t>
        </is>
      </c>
      <c r="B15" t="n">
        <v>0.08</v>
      </c>
      <c r="C15" t="n">
        <v>0.05</v>
      </c>
      <c r="D15" t="n">
        <v>0.12</v>
      </c>
      <c r="E15" t="inlineStr">
        <is>
          <t>R$/m2 of unsold urban area per month</t>
        </is>
      </c>
      <c r="F15" s="13" t="inlineStr">
        <is>
          <t>cleaning, mowing, fence repairs, security rounds (illustrative)</t>
        </is>
      </c>
    </row>
    <row r="16">
      <c r="A16" t="inlineStr">
        <is>
          <t>rural_maintenance_per_m2_month</t>
        </is>
      </c>
      <c r="B16" t="n">
        <v>0.02</v>
      </c>
      <c r="C16" t="n">
        <v>0.01</v>
      </c>
      <c r="D16" t="n">
        <v>0.04</v>
      </c>
      <c r="E16" t="inlineStr">
        <is>
          <t>R$/m2 of rural area per month</t>
        </is>
      </c>
      <c r="F16" s="13" t="inlineStr">
        <is>
          <t>mowing and fence repairs only (illustrative)</t>
        </is>
      </c>
    </row>
    <row r="17">
      <c r="A17" t="inlineStr">
        <is>
          <t>iptu_rate</t>
        </is>
      </c>
      <c r="B17" t="n">
        <v>0.01</v>
      </c>
      <c r="C17" t="n">
        <v>0.005</v>
      </c>
      <c r="D17" t="n">
        <v>0.02</v>
      </c>
      <c r="E17" t="inlineStr">
        <is>
          <t>share of land value per year</t>
        </is>
      </c>
      <c r="F17" s="13" t="inlineStr">
        <is>
          <t>municipal urban property tax; vacant land often pays more; CTN art. 32 extends it to approved urban-expansion areas (illustrative)</t>
        </is>
      </c>
    </row>
    <row r="18">
      <c r="A18" t="inlineStr">
        <is>
          <t>itr_rate</t>
        </is>
      </c>
      <c r="B18" t="n">
        <v>0.003</v>
      </c>
      <c r="C18" t="n">
        <v>0.0003</v>
      </c>
      <c r="D18" t="n">
        <v>0.01</v>
      </c>
      <c r="E18" t="inlineStr">
        <is>
          <t>share of bare-land value per year</t>
        </is>
      </c>
      <c r="F18" s="13" t="inlineStr">
        <is>
          <t>rural land tax, Lei 9.393/1996: 0.03% to 1.00% for areas up to 50 ha, by degree of use; partial use assumed</t>
        </is>
      </c>
    </row>
    <row r="19">
      <c r="A19" t="inlineStr">
        <is>
          <t>car_service</t>
        </is>
      </c>
      <c r="B19" t="n">
        <v>2500</v>
      </c>
      <c r="C19" t="n">
        <v>1500</v>
      </c>
      <c r="D19" t="n">
        <v>4000</v>
      </c>
      <c r="E19" t="inlineStr">
        <is>
          <t>R$ once per rural parcel</t>
        </is>
      </c>
      <c r="F19" s="13" t="inlineStr">
        <is>
          <t>CAR registration is free (SICAR); this is the surveyor's fee (illustrative)</t>
        </is>
      </c>
    </row>
    <row r="20">
      <c r="A20" t="inlineStr">
        <is>
          <t>broker_rate</t>
        </is>
      </c>
      <c r="B20" t="n">
        <v>0.05</v>
      </c>
      <c r="C20" t="n">
        <v>0.04</v>
      </c>
      <c r="D20" t="n">
        <v>0.06</v>
      </c>
      <c r="E20" t="inlineStr">
        <is>
          <t>share of sale price</t>
        </is>
      </c>
      <c r="F20" s="13" t="inlineStr">
        <is>
          <t>illustrative</t>
        </is>
      </c>
    </row>
    <row r="21">
      <c r="A21" t="inlineStr">
        <is>
          <t>sales_tax_rate</t>
        </is>
      </c>
      <c r="B21" t="n">
        <v>0.0673</v>
      </c>
      <c r="C21" t="n">
        <v>0.0593</v>
      </c>
      <c r="D21" t="n">
        <v>0.0673</v>
      </c>
      <c r="E21" t="inlineStr">
        <is>
          <t>share of receipts</t>
        </is>
      </c>
      <c r="F21" s="13" t="inlineStr">
        <is>
          <t>Lucro Presumido on cash receipts: IRPJ 15% + 10% surcharge and CSLL 9% on presumed profit of 8% and 12% (Lei 9.249/1995) = 2.08% + 1.08%, plus PIS 0.65% and COFINS 3% (Lei 9.718/1998); low = no surcharge</t>
        </is>
      </c>
    </row>
    <row r="22">
      <c r="A22" t="inlineStr">
        <is>
          <t>absorption_months</t>
        </is>
      </c>
      <c r="B22" t="n">
        <v>36</v>
      </c>
      <c r="C22" t="n">
        <v>24</v>
      </c>
      <c r="D22" t="n">
        <v>48</v>
      </c>
      <c r="E22" t="inlineStr">
        <is>
          <t>months to sell all lots</t>
        </is>
      </c>
      <c r="F22" s="13" t="inlineStr">
        <is>
          <t>author's experience: return takes 2-4 years on average</t>
        </is>
      </c>
    </row>
    <row r="23">
      <c r="A23" t="inlineStr">
        <is>
          <t>lot_price_factor</t>
        </is>
      </c>
      <c r="B23" t="n">
        <v>1</v>
      </c>
      <c r="C23" t="n">
        <v>0.85</v>
      </c>
      <c r="D23" t="n">
        <v>1.1</v>
      </c>
      <c r="E23" t="inlineStr">
        <is>
          <t>x the parcel's prices per m2</t>
        </is>
      </c>
      <c r="F23" s="13" t="inlineStr">
        <is>
          <t>scenario lever on lot prices and raw-land prices</t>
        </is>
      </c>
    </row>
    <row r="24">
      <c r="A24" t="inlineStr">
        <is>
          <t>cash_share</t>
        </is>
      </c>
      <c r="B24" t="n">
        <v>0.3</v>
      </c>
      <c r="C24" t="n">
        <v>0.2</v>
      </c>
      <c r="D24" t="n">
        <v>0.4</v>
      </c>
      <c r="E24" t="inlineStr">
        <is>
          <t>share of sales paid in cash</t>
        </is>
      </c>
      <c r="F24" s="13" t="inlineStr">
        <is>
          <t>illustrative</t>
        </is>
      </c>
    </row>
    <row r="25">
      <c r="A25" t="inlineStr">
        <is>
          <t>down_rate</t>
        </is>
      </c>
      <c r="B25" t="n">
        <v>0.2</v>
      </c>
      <c r="C25" t="n">
        <v>0.1</v>
      </c>
      <c r="D25" t="n">
        <v>0.3</v>
      </c>
      <c r="E25" t="inlineStr">
        <is>
          <t>share of price at signing</t>
        </is>
      </c>
      <c r="F25" s="13" t="inlineStr">
        <is>
          <t>illustrative</t>
        </is>
      </c>
    </row>
    <row r="26">
      <c r="A26" t="inlineStr">
        <is>
          <t>installments</t>
        </is>
      </c>
      <c r="B26" t="n">
        <v>60</v>
      </c>
      <c r="C26" t="n">
        <v>36</v>
      </c>
      <c r="D26" t="n">
        <v>120</v>
      </c>
      <c r="E26" t="inlineStr">
        <is>
          <t>months</t>
        </is>
      </c>
      <c r="F26" s="13" t="inlineStr">
        <is>
          <t>illustrative</t>
        </is>
      </c>
    </row>
    <row r="27">
      <c r="A27" t="inlineStr">
        <is>
          <t>monthly_interest</t>
        </is>
      </c>
      <c r="B27" t="n">
        <v>0.008</v>
      </c>
      <c r="C27" t="n">
        <v>0.005</v>
      </c>
      <c r="D27" t="n">
        <v>0.01</v>
      </c>
      <c r="E27" t="inlineStr">
        <is>
          <t>per month, Price table</t>
        </is>
      </c>
      <c r="F27" s="13" t="inlineStr">
        <is>
          <t>illustrative</t>
        </is>
      </c>
    </row>
    <row r="28">
      <c r="A28" t="inlineStr">
        <is>
          <t>index_rate_year</t>
        </is>
      </c>
      <c r="B28" t="n">
        <v>0.045</v>
      </c>
      <c r="C28" t="n">
        <v>0.035</v>
      </c>
      <c r="D28" t="n">
        <v>0.06</v>
      </c>
      <c r="E28" t="inlineStr">
        <is>
          <t>per year, fixed</t>
        </is>
      </c>
      <c r="F28" s="13" t="inlineStr">
        <is>
          <t>correction index (IPCA by default) as a fixed assumption, no real series</t>
        </is>
      </c>
    </row>
    <row r="29">
      <c r="A29" t="inlineStr">
        <is>
          <t>default_rate</t>
        </is>
      </c>
      <c r="B29" t="n">
        <v>0.01</v>
      </c>
      <c r="C29" t="n">
        <v>0</v>
      </c>
      <c r="D29" t="n">
        <v>0.03</v>
      </c>
      <c r="E29" t="inlineStr">
        <is>
          <t>share of installments never received</t>
        </is>
      </c>
      <c r="F29" s="13" t="inlineStr">
        <is>
          <t>author's experience: delinquency is rare</t>
        </is>
      </c>
    </row>
    <row r="30">
      <c r="A30" t="inlineStr">
        <is>
          <t>hold_months</t>
        </is>
      </c>
      <c r="B30" t="n">
        <v>30</v>
      </c>
      <c r="C30" t="n">
        <v>24</v>
      </c>
      <c r="D30" t="n">
        <v>48</v>
      </c>
      <c r="E30" t="inlineStr">
        <is>
          <t>months until the whole parcel is sold</t>
        </is>
      </c>
      <c r="F30" s="13" t="inlineStr">
        <is>
          <t>author's experience: 2-4 years</t>
        </is>
      </c>
    </row>
    <row r="31">
      <c r="A31" t="inlineStr">
        <is>
          <t>land_appreciation_year</t>
        </is>
      </c>
      <c r="B31" t="n">
        <v>0.06</v>
      </c>
      <c r="C31" t="n">
        <v>0.03</v>
      </c>
      <c r="D31" t="n">
        <v>0.09</v>
      </c>
      <c r="E31" t="inlineStr">
        <is>
          <t>per year</t>
        </is>
      </c>
      <c r="F31" s="13" t="inlineStr">
        <is>
          <t>illustrative</t>
        </is>
      </c>
    </row>
    <row r="32">
      <c r="A32" t="inlineStr">
        <is>
          <t>whole_down_rate</t>
        </is>
      </c>
      <c r="B32" t="n">
        <v>0.4</v>
      </c>
      <c r="C32" t="n">
        <v>0.3</v>
      </c>
      <c r="D32" t="n">
        <v>0.5</v>
      </c>
      <c r="E32" t="inlineStr">
        <is>
          <t>share of price at signing</t>
        </is>
      </c>
      <c r="F32" s="13" t="inlineStr">
        <is>
          <t>illustrative</t>
        </is>
      </c>
    </row>
    <row r="33">
      <c r="A33" t="inlineStr">
        <is>
          <t>whole_installments</t>
        </is>
      </c>
      <c r="B33" t="n">
        <v>12</v>
      </c>
      <c r="C33" t="n">
        <v>6</v>
      </c>
      <c r="D33" t="n">
        <v>24</v>
      </c>
      <c r="E33" t="inlineStr">
        <is>
          <t>months</t>
        </is>
      </c>
      <c r="F33" s="13" t="inlineStr">
        <is>
          <t>illustrative</t>
        </is>
      </c>
    </row>
    <row r="34">
      <c r="A34" t="inlineStr">
        <is>
          <t>discount_rate_year</t>
        </is>
      </c>
      <c r="B34" t="n">
        <v>0.14</v>
      </c>
      <c r="C34" t="n">
        <v>0.11</v>
      </c>
      <c r="D34" t="n">
        <v>0.18</v>
      </c>
      <c r="E34" t="inlineStr">
        <is>
          <t>per year</t>
        </is>
      </c>
      <c r="F34" s="13" t="inlineStr">
        <is>
          <t>hurdle rate; compare with the Selic of the day (illustrative)</t>
        </is>
      </c>
    </row>
    <row r="35">
      <c r="A35" t="inlineStr">
        <is>
          <t>subdivision_min_m2</t>
        </is>
      </c>
      <c r="B35" t="n">
        <v>20000</v>
      </c>
      <c r="C35" t="n">
        <v>20000</v>
      </c>
      <c r="D35" t="n">
        <v>20000</v>
      </c>
      <c r="E35" t="inlineStr">
        <is>
          <t>m2</t>
        </is>
      </c>
      <c r="F35" s="13" t="inlineStr">
        <is>
          <t>parcels at least this big and urban or urban-expansion are subdivided; smaller ones are sold whole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20" customWidth="1" min="4" max="4"/>
    <col width="19" customWidth="1" min="5" max="5"/>
    <col width="17" customWidth="1" min="6" max="6"/>
    <col width="22" customWidth="1" min="7" max="7"/>
    <col width="12" customWidth="1" min="8" max="8"/>
    <col width="14" customWidth="1" min="9" max="9"/>
    <col width="15" customWidth="1" min="10" max="10"/>
    <col width="13" customWidth="1" min="11" max="11"/>
    <col width="13" customWidth="1" min="12" max="12"/>
    <col width="13" customWidth="1" min="13" max="13"/>
    <col width="16" customWidth="1" min="14" max="14"/>
    <col width="15" customWidth="1" min="15" max="15"/>
    <col width="13" customWidth="1" min="16" max="16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Acquisition</t>
        </is>
      </c>
      <c r="D1" s="3" t="inlineStr">
        <is>
          <t>Acquisition taxes</t>
        </is>
      </c>
      <c r="E1" s="3" t="inlineStr">
        <is>
          <t>Studies approval</t>
        </is>
      </c>
      <c r="F1" s="3" t="inlineStr">
        <is>
          <t>Infrastructure</t>
        </is>
      </c>
      <c r="G1" s="3" t="inlineStr">
        <is>
          <t>Small constructions</t>
        </is>
      </c>
      <c r="H1" s="3" t="inlineStr">
        <is>
          <t>Marketing</t>
        </is>
      </c>
      <c r="I1" s="3" t="inlineStr">
        <is>
          <t>Maintenance</t>
        </is>
      </c>
      <c r="J1" s="3" t="inlineStr">
        <is>
          <t>Property tax</t>
        </is>
      </c>
      <c r="K1" s="3" t="inlineStr">
        <is>
          <t>Broker</t>
        </is>
      </c>
      <c r="L1" s="3" t="inlineStr">
        <is>
          <t>Sales tax</t>
        </is>
      </c>
      <c r="M1" s="3" t="inlineStr">
        <is>
          <t>Cash sales</t>
        </is>
      </c>
      <c r="N1" s="3" t="inlineStr">
        <is>
          <t>Down payments</t>
        </is>
      </c>
      <c r="O1" s="3" t="inlineStr">
        <is>
          <t>Installments</t>
        </is>
      </c>
      <c r="P1" s="3" t="inlineStr">
        <is>
          <t>Net profit</t>
        </is>
      </c>
    </row>
    <row r="2">
      <c r="A2" t="inlineStr">
        <is>
          <t>T01</t>
        </is>
      </c>
      <c r="B2" t="inlineStr">
        <is>
          <t>Sítio Pinheirinho</t>
        </is>
      </c>
      <c r="C2" s="8" t="n">
        <v>-693000</v>
      </c>
      <c r="D2" s="8" t="n">
        <v>-33685</v>
      </c>
      <c r="E2" s="8" t="n">
        <v>0</v>
      </c>
      <c r="F2" s="8" t="n">
        <v>0</v>
      </c>
      <c r="G2" s="8" t="n">
        <v>0</v>
      </c>
      <c r="H2" s="8" t="n">
        <v>0</v>
      </c>
      <c r="I2" s="8" t="n">
        <v>-32400</v>
      </c>
      <c r="J2" s="8" t="n">
        <v>-5197.5</v>
      </c>
      <c r="K2" s="8" t="n">
        <v>-56221.30632836717</v>
      </c>
      <c r="L2" s="8" t="n">
        <v>-77591.39024515342</v>
      </c>
      <c r="M2" s="8" t="n">
        <v>0</v>
      </c>
      <c r="N2" s="8" t="n">
        <v>449770.4506269373</v>
      </c>
      <c r="O2" s="8" t="n">
        <v>703147.6808017911</v>
      </c>
      <c r="P2" s="8" t="n">
        <v>254822.9348552079</v>
      </c>
    </row>
    <row r="3">
      <c r="A3" t="inlineStr">
        <is>
          <t>T02</t>
        </is>
      </c>
      <c r="B3" t="inlineStr">
        <is>
          <t>Área Jardim Novo</t>
        </is>
      </c>
      <c r="C3" s="8" t="n">
        <v>-2648000</v>
      </c>
      <c r="D3" s="8" t="n">
        <v>-119160</v>
      </c>
      <c r="E3" s="8" t="n">
        <v>-101400</v>
      </c>
      <c r="F3" s="8" t="n">
        <v>-2387880</v>
      </c>
      <c r="G3" s="8" t="n">
        <v>-124123.4631460406</v>
      </c>
      <c r="H3" s="8" t="n">
        <v>-128740.5</v>
      </c>
      <c r="I3" s="8" t="n">
        <v>-79767.99999999999</v>
      </c>
      <c r="J3" s="8" t="n">
        <v>-65096.66666666666</v>
      </c>
      <c r="K3" s="8" t="n">
        <v>-429135.0000000001</v>
      </c>
      <c r="L3" s="8" t="n">
        <v>-696693.4255280343</v>
      </c>
      <c r="M3" s="8" t="n">
        <v>2574810</v>
      </c>
      <c r="N3" s="8" t="n">
        <v>1201578</v>
      </c>
      <c r="O3" s="8" t="n">
        <v>6575668.842912843</v>
      </c>
      <c r="P3" s="8" t="n">
        <v>3572059.787572104</v>
      </c>
    </row>
    <row r="4">
      <c r="A4" t="inlineStr">
        <is>
          <t>T03</t>
        </is>
      </c>
      <c r="B4" t="inlineStr">
        <is>
          <t>Chácara Água Limpa</t>
        </is>
      </c>
      <c r="C4" s="8" t="n">
        <v>-755000</v>
      </c>
      <c r="D4" s="8" t="n">
        <v>-36475</v>
      </c>
      <c r="E4" s="8" t="n">
        <v>0</v>
      </c>
      <c r="F4" s="8" t="n">
        <v>0</v>
      </c>
      <c r="G4" s="8" t="n">
        <v>0</v>
      </c>
      <c r="H4" s="8" t="n">
        <v>0</v>
      </c>
      <c r="I4" s="8" t="n">
        <v>-45300</v>
      </c>
      <c r="J4" s="8" t="n">
        <v>-5662.5</v>
      </c>
      <c r="K4" s="8" t="n">
        <v>-61137.77858959269</v>
      </c>
      <c r="L4" s="8" t="n">
        <v>-84376.64556494566</v>
      </c>
      <c r="M4" s="8" t="n">
        <v>0</v>
      </c>
      <c r="N4" s="8" t="n">
        <v>489102.2287167415</v>
      </c>
      <c r="O4" s="8" t="n">
        <v>764636.9327237587</v>
      </c>
      <c r="P4" s="8" t="n">
        <v>265787.237285962</v>
      </c>
    </row>
    <row r="5">
      <c r="A5" t="inlineStr">
        <is>
          <t>T04</t>
        </is>
      </c>
      <c r="B5" t="inlineStr">
        <is>
          <t>Gleba Boa Vista</t>
        </is>
      </c>
      <c r="C5" s="8" t="n">
        <v>-2956000</v>
      </c>
      <c r="D5" s="8" t="n">
        <v>-133020</v>
      </c>
      <c r="E5" s="8" t="n">
        <v>-204000</v>
      </c>
      <c r="F5" s="8" t="n">
        <v>-4847040</v>
      </c>
      <c r="G5" s="8" t="n">
        <v>-142584.3430899454</v>
      </c>
      <c r="H5" s="8" t="n">
        <v>-188496</v>
      </c>
      <c r="I5" s="8" t="n">
        <v>-160480</v>
      </c>
      <c r="J5" s="8" t="n">
        <v>-72668.33333333333</v>
      </c>
      <c r="K5" s="8" t="n">
        <v>-628320.0000000001</v>
      </c>
      <c r="L5" s="8" t="n">
        <v>-1020066.909312395</v>
      </c>
      <c r="M5" s="8" t="n">
        <v>3769920</v>
      </c>
      <c r="N5" s="8" t="n">
        <v>1759296</v>
      </c>
      <c r="O5" s="8" t="n">
        <v>9627796.025444198</v>
      </c>
      <c r="P5" s="8" t="n">
        <v>4804336.439708525</v>
      </c>
    </row>
    <row r="6">
      <c r="A6" t="inlineStr">
        <is>
          <t>T05</t>
        </is>
      </c>
      <c r="B6" t="inlineStr">
        <is>
          <t>Gleba Santa Rita</t>
        </is>
      </c>
      <c r="C6" s="8" t="n">
        <v>-3016000</v>
      </c>
      <c r="D6" s="8" t="n">
        <v>-135720</v>
      </c>
      <c r="E6" s="8" t="n">
        <v>-220800</v>
      </c>
      <c r="F6" s="8" t="n">
        <v>-5239080</v>
      </c>
      <c r="G6" s="8" t="n">
        <v>-145110.3678380026</v>
      </c>
      <c r="H6" s="8" t="n">
        <v>-201096</v>
      </c>
      <c r="I6" s="8" t="n">
        <v>-173696</v>
      </c>
      <c r="J6" s="8" t="n">
        <v>-74143.33333333333</v>
      </c>
      <c r="K6" s="8" t="n">
        <v>-670320</v>
      </c>
      <c r="L6" s="8" t="n">
        <v>-1088253.200041833</v>
      </c>
      <c r="M6" s="8" t="n">
        <v>4021920</v>
      </c>
      <c r="N6" s="8" t="n">
        <v>1876896</v>
      </c>
      <c r="O6" s="8" t="n">
        <v>10271365.27848192</v>
      </c>
      <c r="P6" s="8" t="n">
        <v>5205962.377268744</v>
      </c>
    </row>
    <row r="7">
      <c r="A7" t="inlineStr">
        <is>
          <t>T06</t>
        </is>
      </c>
      <c r="B7" t="inlineStr">
        <is>
          <t>Área Avenida Central</t>
        </is>
      </c>
      <c r="C7" s="8" t="n">
        <v>-1113000</v>
      </c>
      <c r="D7" s="8" t="n">
        <v>-50085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-24000</v>
      </c>
      <c r="J7" s="8" t="n">
        <v>-27825</v>
      </c>
      <c r="K7" s="8" t="n">
        <v>-86182.86669677682</v>
      </c>
      <c r="L7" s="8" t="n">
        <v>-118941.534429299</v>
      </c>
      <c r="M7" s="8" t="n">
        <v>0</v>
      </c>
      <c r="N7" s="8" t="n">
        <v>689462.9335742146</v>
      </c>
      <c r="O7" s="8" t="n">
        <v>1077870.416043898</v>
      </c>
      <c r="P7" s="8" t="n">
        <v>347298.9484920369</v>
      </c>
    </row>
    <row r="8">
      <c r="A8" t="inlineStr">
        <is>
          <t>T07</t>
        </is>
      </c>
      <c r="B8" t="inlineStr">
        <is>
          <t>Terreno Esquina Comercial</t>
        </is>
      </c>
      <c r="C8" s="8" t="n">
        <v>-1074000</v>
      </c>
      <c r="D8" s="8" t="n">
        <v>-48330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-9600</v>
      </c>
      <c r="J8" s="8" t="n">
        <v>-26850</v>
      </c>
      <c r="K8" s="8" t="n">
        <v>-73804.92476851492</v>
      </c>
      <c r="L8" s="8" t="n">
        <v>-101858.6563300574</v>
      </c>
      <c r="M8" s="8" t="n">
        <v>0</v>
      </c>
      <c r="N8" s="8" t="n">
        <v>590439.3981481193</v>
      </c>
      <c r="O8" s="8" t="n">
        <v>923062.1817932981</v>
      </c>
      <c r="P8" s="8" t="n">
        <v>179057.9988428451</v>
      </c>
    </row>
    <row r="9">
      <c r="A9" t="inlineStr">
        <is>
          <t>T08</t>
        </is>
      </c>
      <c r="B9" t="inlineStr">
        <is>
          <t>Área Vila Operária</t>
        </is>
      </c>
      <c r="C9" s="8" t="n">
        <v>-705000</v>
      </c>
      <c r="D9" s="8" t="n">
        <v>-31725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-18480</v>
      </c>
      <c r="J9" s="8" t="n">
        <v>-17625</v>
      </c>
      <c r="K9" s="8" t="n">
        <v>-47655.07642380834</v>
      </c>
      <c r="L9" s="8" t="n">
        <v>-65769.08068208015</v>
      </c>
      <c r="M9" s="8" t="n">
        <v>0</v>
      </c>
      <c r="N9" s="8" t="n">
        <v>381240.6113904667</v>
      </c>
      <c r="O9" s="8" t="n">
        <v>596011.7018648104</v>
      </c>
      <c r="P9" s="8" t="n">
        <v>90998.15614938876</v>
      </c>
    </row>
    <row r="10">
      <c r="A10" t="inlineStr">
        <is>
          <t>T09</t>
        </is>
      </c>
      <c r="B10" t="inlineStr">
        <is>
          <t>Gleba Ribeirão Claro</t>
        </is>
      </c>
      <c r="C10" s="8" t="n">
        <v>-3563000</v>
      </c>
      <c r="D10" s="8" t="n">
        <v>-160335</v>
      </c>
      <c r="E10" s="8" t="n">
        <v>-228600</v>
      </c>
      <c r="F10" s="8" t="n">
        <v>-5417280</v>
      </c>
      <c r="G10" s="8" t="n">
        <v>-146250.4339608428</v>
      </c>
      <c r="H10" s="8" t="n">
        <v>-264024</v>
      </c>
      <c r="I10" s="8" t="n">
        <v>-179832</v>
      </c>
      <c r="J10" s="8" t="n">
        <v>-87590.41666666666</v>
      </c>
      <c r="K10" s="8" t="n">
        <v>-880080</v>
      </c>
      <c r="L10" s="8" t="n">
        <v>-1428795.017741998</v>
      </c>
      <c r="M10" s="8" t="n">
        <v>5280480</v>
      </c>
      <c r="N10" s="8" t="n">
        <v>2464224</v>
      </c>
      <c r="O10" s="8" t="n">
        <v>13485534.00508169</v>
      </c>
      <c r="P10" s="8" t="n">
        <v>8874451.13671219</v>
      </c>
    </row>
    <row r="11">
      <c r="A11" t="inlineStr">
        <is>
          <t>T10</t>
        </is>
      </c>
      <c r="B11" t="inlineStr">
        <is>
          <t>Terreno Rua das Acácias</t>
        </is>
      </c>
      <c r="C11" s="8" t="n">
        <v>-590000</v>
      </c>
      <c r="D11" s="8" t="n">
        <v>-26550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-6240</v>
      </c>
      <c r="J11" s="8" t="n">
        <v>-14750</v>
      </c>
      <c r="K11" s="8" t="n">
        <v>-41055.43542373973</v>
      </c>
      <c r="L11" s="8" t="n">
        <v>-56660.87324692378</v>
      </c>
      <c r="M11" s="8" t="n">
        <v>0</v>
      </c>
      <c r="N11" s="8" t="n">
        <v>328443.4833899178</v>
      </c>
      <c r="O11" s="8" t="n">
        <v>513471.4236966168</v>
      </c>
      <c r="P11" s="8" t="n">
        <v>106658.5984158723</v>
      </c>
    </row>
    <row r="12">
      <c r="A12" s="14" t="inlineStr">
        <is>
          <t>Total</t>
        </is>
      </c>
      <c r="B12" s="14" t="inlineStr"/>
      <c r="C12" s="15" t="n">
        <v>-17113000</v>
      </c>
      <c r="D12" s="15" t="n">
        <v>-775085</v>
      </c>
      <c r="E12" s="15" t="n">
        <v>-754800</v>
      </c>
      <c r="F12" s="15" t="n">
        <v>-17891280</v>
      </c>
      <c r="G12" s="15" t="n">
        <v>-558068.6080348315</v>
      </c>
      <c r="H12" s="15" t="n">
        <v>-782356.5</v>
      </c>
      <c r="I12" s="15" t="n">
        <v>-729795.9999999999</v>
      </c>
      <c r="J12" s="15" t="n">
        <v>-397408.75</v>
      </c>
      <c r="K12" s="15" t="n">
        <v>-2973912.3882308</v>
      </c>
      <c r="L12" s="15" t="n">
        <v>-4739006.733122719</v>
      </c>
      <c r="M12" s="15" t="n">
        <v>15647130</v>
      </c>
      <c r="N12" s="15" t="n">
        <v>10230453.1058464</v>
      </c>
      <c r="O12" s="15" t="n">
        <v>44538564.48884482</v>
      </c>
      <c r="P12" s="15" t="n">
        <v>23701433.61530288</v>
      </c>
    </row>
    <row r="14">
      <c r="A14" t="inlineStr">
        <is>
          <t>Outflows are negative. Installments are net of the default assumption. Nominal values.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0" customWidth="1" min="3" max="3"/>
    <col width="19" customWidth="1" min="4" max="4"/>
    <col width="17" customWidth="1" min="5" max="5"/>
    <col width="22" customWidth="1" min="6" max="6"/>
    <col width="12" customWidth="1" min="7" max="7"/>
    <col width="14" customWidth="1" min="8" max="8"/>
    <col width="15" customWidth="1" min="9" max="9"/>
    <col width="11" customWidth="1" min="10" max="10"/>
    <col width="12" customWidth="1" min="11" max="11"/>
    <col width="13" customWidth="1" min="12" max="12"/>
    <col width="16" customWidth="1" min="13" max="13"/>
    <col width="15" customWidth="1" min="14" max="14"/>
    <col width="13" customWidth="1" min="15" max="15"/>
    <col width="14" customWidth="1" min="16" max="16"/>
  </cols>
  <sheetData>
    <row r="1" ht="30" customHeight="1">
      <c r="A1" s="3" t="inlineStr">
        <is>
          <t>Month</t>
        </is>
      </c>
      <c r="B1" s="3" t="inlineStr">
        <is>
          <t>Acquisition</t>
        </is>
      </c>
      <c r="C1" s="3" t="inlineStr">
        <is>
          <t>Acquisition taxes</t>
        </is>
      </c>
      <c r="D1" s="3" t="inlineStr">
        <is>
          <t>Studies approval</t>
        </is>
      </c>
      <c r="E1" s="3" t="inlineStr">
        <is>
          <t>Infrastructure</t>
        </is>
      </c>
      <c r="F1" s="3" t="inlineStr">
        <is>
          <t>Small constructions</t>
        </is>
      </c>
      <c r="G1" s="3" t="inlineStr">
        <is>
          <t>Marketing</t>
        </is>
      </c>
      <c r="H1" s="3" t="inlineStr">
        <is>
          <t>Maintenance</t>
        </is>
      </c>
      <c r="I1" s="3" t="inlineStr">
        <is>
          <t>Property tax</t>
        </is>
      </c>
      <c r="J1" s="3" t="inlineStr">
        <is>
          <t>Broker</t>
        </is>
      </c>
      <c r="K1" s="3" t="inlineStr">
        <is>
          <t>Sales tax</t>
        </is>
      </c>
      <c r="L1" s="3" t="inlineStr">
        <is>
          <t>Cash sales</t>
        </is>
      </c>
      <c r="M1" s="3" t="inlineStr">
        <is>
          <t>Down payments</t>
        </is>
      </c>
      <c r="N1" s="3" t="inlineStr">
        <is>
          <t>Installments</t>
        </is>
      </c>
      <c r="O1" s="3" t="inlineStr">
        <is>
          <t>Net</t>
        </is>
      </c>
      <c r="P1" s="3" t="inlineStr">
        <is>
          <t>Cumulative</t>
        </is>
      </c>
    </row>
    <row r="2">
      <c r="A2" t="inlineStr">
        <is>
          <t>2026-01</t>
        </is>
      </c>
      <c r="B2" s="8" t="n">
        <v>-693000</v>
      </c>
      <c r="C2" s="8" t="n">
        <v>-33685</v>
      </c>
      <c r="D2" s="8" t="n">
        <v>0</v>
      </c>
      <c r="E2" s="8" t="n">
        <v>0</v>
      </c>
      <c r="F2" s="8" t="n">
        <v>0</v>
      </c>
      <c r="G2" s="8" t="n">
        <v>0</v>
      </c>
      <c r="H2" s="8" t="n">
        <v>-1080</v>
      </c>
      <c r="I2" s="8" t="n">
        <v>-173.25</v>
      </c>
      <c r="J2" s="8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8" t="n">
        <v>-727938.25</v>
      </c>
      <c r="P2" s="8" t="n">
        <v>-727938.25</v>
      </c>
    </row>
    <row r="3">
      <c r="A3" t="inlineStr">
        <is>
          <t>2026-02</t>
        </is>
      </c>
      <c r="B3" s="8" t="n">
        <v>0</v>
      </c>
      <c r="C3" s="8" t="n">
        <v>0</v>
      </c>
      <c r="D3" s="8" t="n">
        <v>0</v>
      </c>
      <c r="E3" s="8" t="n">
        <v>0</v>
      </c>
      <c r="F3" s="8" t="n">
        <v>0</v>
      </c>
      <c r="G3" s="8" t="n">
        <v>0</v>
      </c>
      <c r="H3" s="8" t="n">
        <v>-1080</v>
      </c>
      <c r="I3" s="8" t="n">
        <v>-173.25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-1253.25</v>
      </c>
      <c r="P3" s="8" t="n">
        <v>-729191.5</v>
      </c>
    </row>
    <row r="4">
      <c r="A4" t="inlineStr">
        <is>
          <t>2026-03</t>
        </is>
      </c>
      <c r="B4" s="8" t="n">
        <v>-2648000</v>
      </c>
      <c r="C4" s="8" t="n">
        <v>-119160</v>
      </c>
      <c r="D4" s="8" t="n">
        <v>-8450</v>
      </c>
      <c r="E4" s="8" t="n">
        <v>0</v>
      </c>
      <c r="F4" s="8" t="n">
        <v>0</v>
      </c>
      <c r="G4" s="8" t="n">
        <v>0</v>
      </c>
      <c r="H4" s="8" t="n">
        <v>-3784</v>
      </c>
      <c r="I4" s="8" t="n">
        <v>-2379.916666666667</v>
      </c>
      <c r="J4" s="8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-2781773.916666667</v>
      </c>
      <c r="P4" s="8" t="n">
        <v>-3510965.416666667</v>
      </c>
    </row>
    <row r="5">
      <c r="A5" t="inlineStr">
        <is>
          <t>2026-04</t>
        </is>
      </c>
      <c r="B5" s="8" t="n">
        <v>-755000</v>
      </c>
      <c r="C5" s="8" t="n">
        <v>-36475</v>
      </c>
      <c r="D5" s="8" t="n">
        <v>-8450</v>
      </c>
      <c r="E5" s="8" t="n">
        <v>0</v>
      </c>
      <c r="F5" s="8" t="n">
        <v>-44123.46314604057</v>
      </c>
      <c r="G5" s="8" t="n">
        <v>0</v>
      </c>
      <c r="H5" s="8" t="n">
        <v>-5294</v>
      </c>
      <c r="I5" s="8" t="n">
        <v>-2568.666666666667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8" t="n">
        <v>-851911.1298127072</v>
      </c>
      <c r="P5" s="8" t="n">
        <v>-4362876.546479374</v>
      </c>
    </row>
    <row r="6">
      <c r="A6" t="inlineStr">
        <is>
          <t>2026-05</t>
        </is>
      </c>
      <c r="B6" s="8" t="n">
        <v>0</v>
      </c>
      <c r="C6" s="8" t="n">
        <v>0</v>
      </c>
      <c r="D6" s="8" t="n">
        <v>-8450</v>
      </c>
      <c r="E6" s="8" t="n">
        <v>0</v>
      </c>
      <c r="F6" s="8" t="n">
        <v>0</v>
      </c>
      <c r="G6" s="8" t="n">
        <v>0</v>
      </c>
      <c r="H6" s="8" t="n">
        <v>-5294</v>
      </c>
      <c r="I6" s="8" t="n">
        <v>-2568.666666666667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-16312.66666666667</v>
      </c>
      <c r="P6" s="8" t="n">
        <v>-4379189.213146041</v>
      </c>
    </row>
    <row r="7">
      <c r="A7" t="inlineStr">
        <is>
          <t>2026-06</t>
        </is>
      </c>
      <c r="B7" s="8" t="n">
        <v>0</v>
      </c>
      <c r="C7" s="8" t="n">
        <v>0</v>
      </c>
      <c r="D7" s="8" t="n">
        <v>-8450</v>
      </c>
      <c r="E7" s="8" t="n">
        <v>0</v>
      </c>
      <c r="F7" s="8" t="n">
        <v>0</v>
      </c>
      <c r="G7" s="8" t="n">
        <v>0</v>
      </c>
      <c r="H7" s="8" t="n">
        <v>-5294</v>
      </c>
      <c r="I7" s="8" t="n">
        <v>-2568.666666666667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-16312.66666666667</v>
      </c>
      <c r="P7" s="8" t="n">
        <v>-4395501.879812708</v>
      </c>
    </row>
    <row r="8">
      <c r="A8" t="inlineStr">
        <is>
          <t>2026-07</t>
        </is>
      </c>
      <c r="B8" s="8" t="n">
        <v>-2956000</v>
      </c>
      <c r="C8" s="8" t="n">
        <v>-133020</v>
      </c>
      <c r="D8" s="8" t="n">
        <v>-25450</v>
      </c>
      <c r="E8" s="8" t="n">
        <v>0</v>
      </c>
      <c r="F8" s="8" t="n">
        <v>0</v>
      </c>
      <c r="G8" s="8" t="n">
        <v>0</v>
      </c>
      <c r="H8" s="8" t="n">
        <v>-10734</v>
      </c>
      <c r="I8" s="8" t="n">
        <v>-5032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-3130236</v>
      </c>
      <c r="P8" s="8" t="n">
        <v>-7525737.879812708</v>
      </c>
    </row>
    <row r="9">
      <c r="A9" t="inlineStr">
        <is>
          <t>2026-08</t>
        </is>
      </c>
      <c r="B9" s="8" t="n">
        <v>0</v>
      </c>
      <c r="C9" s="8" t="n">
        <v>0</v>
      </c>
      <c r="D9" s="8" t="n">
        <v>-25450</v>
      </c>
      <c r="E9" s="8" t="n">
        <v>0</v>
      </c>
      <c r="F9" s="8" t="n">
        <v>-62584.34308994543</v>
      </c>
      <c r="G9" s="8" t="n">
        <v>0</v>
      </c>
      <c r="H9" s="8" t="n">
        <v>-10734</v>
      </c>
      <c r="I9" s="8" t="n">
        <v>-5032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-103800.3430899454</v>
      </c>
      <c r="P9" s="8" t="n">
        <v>-7629538.222902654</v>
      </c>
    </row>
    <row r="10">
      <c r="A10" t="inlineStr">
        <is>
          <t>2026-09</t>
        </is>
      </c>
      <c r="B10" s="8" t="n">
        <v>0</v>
      </c>
      <c r="C10" s="8" t="n">
        <v>0</v>
      </c>
      <c r="D10" s="8" t="n">
        <v>-25450</v>
      </c>
      <c r="E10" s="8" t="n">
        <v>0</v>
      </c>
      <c r="F10" s="8" t="n">
        <v>0</v>
      </c>
      <c r="G10" s="8" t="n">
        <v>0</v>
      </c>
      <c r="H10" s="8" t="n">
        <v>-10734</v>
      </c>
      <c r="I10" s="8" t="n">
        <v>-5032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-41216</v>
      </c>
      <c r="P10" s="8" t="n">
        <v>-7670754.222902654</v>
      </c>
    </row>
    <row r="11">
      <c r="A11" t="inlineStr">
        <is>
          <t>2026-10</t>
        </is>
      </c>
      <c r="B11" s="8" t="n">
        <v>-4129000</v>
      </c>
      <c r="C11" s="8" t="n">
        <v>-185805</v>
      </c>
      <c r="D11" s="8" t="n">
        <v>-43850</v>
      </c>
      <c r="E11" s="8" t="n">
        <v>0</v>
      </c>
      <c r="F11" s="8" t="n">
        <v>0</v>
      </c>
      <c r="G11" s="8" t="n">
        <v>0</v>
      </c>
      <c r="H11" s="8" t="n">
        <v>-17422</v>
      </c>
      <c r="I11" s="8" t="n">
        <v>-8472.833333333334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-4384549.833333334</v>
      </c>
      <c r="P11" s="8" t="n">
        <v>-12055304.05623599</v>
      </c>
    </row>
    <row r="12">
      <c r="A12" t="inlineStr">
        <is>
          <t>2026-11</t>
        </is>
      </c>
      <c r="B12" s="8" t="n">
        <v>-1779000</v>
      </c>
      <c r="C12" s="8" t="n">
        <v>-80055</v>
      </c>
      <c r="D12" s="8" t="n">
        <v>-43850</v>
      </c>
      <c r="E12" s="8" t="n">
        <v>0</v>
      </c>
      <c r="F12" s="8" t="n">
        <v>-65110.36783800257</v>
      </c>
      <c r="G12" s="8" t="n">
        <v>0</v>
      </c>
      <c r="H12" s="8" t="n">
        <v>-18358</v>
      </c>
      <c r="I12" s="8" t="n">
        <v>-9955.333333333334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-1996328.701171336</v>
      </c>
      <c r="P12" s="8" t="n">
        <v>-14051632.75740732</v>
      </c>
    </row>
    <row r="13">
      <c r="A13" t="inlineStr">
        <is>
          <t>2026-12</t>
        </is>
      </c>
      <c r="B13" s="8" t="n">
        <v>0</v>
      </c>
      <c r="C13" s="8" t="n">
        <v>0</v>
      </c>
      <c r="D13" s="8" t="n">
        <v>-43850</v>
      </c>
      <c r="E13" s="8" t="n">
        <v>0</v>
      </c>
      <c r="F13" s="8" t="n">
        <v>0</v>
      </c>
      <c r="G13" s="8" t="n">
        <v>0</v>
      </c>
      <c r="H13" s="8" t="n">
        <v>-18358</v>
      </c>
      <c r="I13" s="8" t="n">
        <v>-9955.333333333334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-72163.33333333333</v>
      </c>
      <c r="P13" s="8" t="n">
        <v>-14123796.09074066</v>
      </c>
    </row>
    <row r="14">
      <c r="A14" t="inlineStr">
        <is>
          <t>2027-01</t>
        </is>
      </c>
      <c r="B14" s="8" t="n">
        <v>-3563000</v>
      </c>
      <c r="C14" s="8" t="n">
        <v>-160335</v>
      </c>
      <c r="D14" s="8" t="n">
        <v>-62900</v>
      </c>
      <c r="E14" s="8" t="n">
        <v>0</v>
      </c>
      <c r="F14" s="8" t="n">
        <v>0</v>
      </c>
      <c r="G14" s="8" t="n">
        <v>0</v>
      </c>
      <c r="H14" s="8" t="n">
        <v>-24454</v>
      </c>
      <c r="I14" s="8" t="n">
        <v>-12924.5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-3823613.5</v>
      </c>
      <c r="P14" s="8" t="n">
        <v>-17947409.59074066</v>
      </c>
    </row>
    <row r="15">
      <c r="A15" t="inlineStr">
        <is>
          <t>2027-02</t>
        </is>
      </c>
      <c r="B15" s="8" t="n">
        <v>-590000</v>
      </c>
      <c r="C15" s="8" t="n">
        <v>-26550</v>
      </c>
      <c r="D15" s="8" t="n">
        <v>-62900</v>
      </c>
      <c r="E15" s="8" t="n">
        <v>0</v>
      </c>
      <c r="F15" s="8" t="n">
        <v>-66250.43396084286</v>
      </c>
      <c r="G15" s="8" t="n">
        <v>0</v>
      </c>
      <c r="H15" s="8" t="n">
        <v>-24662</v>
      </c>
      <c r="I15" s="8" t="n">
        <v>-13416.16666666667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-783778.6006275094</v>
      </c>
      <c r="P15" s="8" t="n">
        <v>-18731188.19136817</v>
      </c>
    </row>
    <row r="16">
      <c r="A16" t="inlineStr">
        <is>
          <t>2027-03</t>
        </is>
      </c>
      <c r="B16" s="8" t="n">
        <v>0</v>
      </c>
      <c r="C16" s="8" t="n">
        <v>0</v>
      </c>
      <c r="D16" s="8" t="n">
        <v>-54450</v>
      </c>
      <c r="E16" s="8" t="n">
        <v>-198990</v>
      </c>
      <c r="F16" s="8" t="n">
        <v>-80000</v>
      </c>
      <c r="G16" s="8" t="n">
        <v>-3576.125</v>
      </c>
      <c r="H16" s="8" t="n">
        <v>-24586.88888888889</v>
      </c>
      <c r="I16" s="8" t="n">
        <v>-13354.87037037037</v>
      </c>
      <c r="J16" s="8" t="n">
        <v>-11920.41666666667</v>
      </c>
      <c r="K16" s="8" t="n">
        <v>-7059.747566666667</v>
      </c>
      <c r="L16" s="8" t="n">
        <v>71522.5</v>
      </c>
      <c r="M16" s="8" t="n">
        <v>33377.16666666667</v>
      </c>
      <c r="N16" s="8" t="n">
        <v>0</v>
      </c>
      <c r="O16" s="8" t="n">
        <v>-289038.381825926</v>
      </c>
      <c r="P16" s="8" t="n">
        <v>-19020226.57319409</v>
      </c>
    </row>
    <row r="17">
      <c r="A17" t="inlineStr">
        <is>
          <t>2027-04</t>
        </is>
      </c>
      <c r="B17" s="8" t="n">
        <v>0</v>
      </c>
      <c r="C17" s="8" t="n">
        <v>0</v>
      </c>
      <c r="D17" s="8" t="n">
        <v>-54450</v>
      </c>
      <c r="E17" s="8" t="n">
        <v>-198990</v>
      </c>
      <c r="F17" s="8" t="n">
        <v>0</v>
      </c>
      <c r="G17" s="8" t="n">
        <v>-3576.125</v>
      </c>
      <c r="H17" s="8" t="n">
        <v>-24511.77777777778</v>
      </c>
      <c r="I17" s="8" t="n">
        <v>-13293.57407407407</v>
      </c>
      <c r="J17" s="8" t="n">
        <v>-11920.41666666667</v>
      </c>
      <c r="K17" s="8" t="n">
        <v>-7247.000047048839</v>
      </c>
      <c r="L17" s="8" t="n">
        <v>71522.5</v>
      </c>
      <c r="M17" s="8" t="n">
        <v>33377.16666666667</v>
      </c>
      <c r="N17" s="8" t="n">
        <v>2782.354834801964</v>
      </c>
      <c r="O17" s="8" t="n">
        <v>-206306.8720640987</v>
      </c>
      <c r="P17" s="8" t="n">
        <v>-19226533.44525819</v>
      </c>
    </row>
    <row r="18">
      <c r="A18" t="inlineStr">
        <is>
          <t>2027-05</t>
        </is>
      </c>
      <c r="B18" s="8" t="n">
        <v>0</v>
      </c>
      <c r="C18" s="8" t="n">
        <v>0</v>
      </c>
      <c r="D18" s="8" t="n">
        <v>-54450</v>
      </c>
      <c r="E18" s="8" t="n">
        <v>-198990</v>
      </c>
      <c r="F18" s="8" t="n">
        <v>0</v>
      </c>
      <c r="G18" s="8" t="n">
        <v>-3576.125</v>
      </c>
      <c r="H18" s="8" t="n">
        <v>-24436.66666666666</v>
      </c>
      <c r="I18" s="8" t="n">
        <v>-13232.27777777778</v>
      </c>
      <c r="J18" s="8" t="n">
        <v>-11920.41666666667</v>
      </c>
      <c r="K18" s="8" t="n">
        <v>-7434.252527431011</v>
      </c>
      <c r="L18" s="8" t="n">
        <v>71522.5</v>
      </c>
      <c r="M18" s="8" t="n">
        <v>33377.16666666667</v>
      </c>
      <c r="N18" s="8" t="n">
        <v>5564.709669603927</v>
      </c>
      <c r="O18" s="8" t="n">
        <v>-203575.3623022715</v>
      </c>
      <c r="P18" s="8" t="n">
        <v>-19430108.80756046</v>
      </c>
    </row>
    <row r="19">
      <c r="A19" t="inlineStr">
        <is>
          <t>2027-06</t>
        </is>
      </c>
      <c r="B19" s="8" t="n">
        <v>0</v>
      </c>
      <c r="C19" s="8" t="n">
        <v>0</v>
      </c>
      <c r="D19" s="8" t="n">
        <v>-54450</v>
      </c>
      <c r="E19" s="8" t="n">
        <v>-198990</v>
      </c>
      <c r="F19" s="8" t="n">
        <v>0</v>
      </c>
      <c r="G19" s="8" t="n">
        <v>-3576.125</v>
      </c>
      <c r="H19" s="8" t="n">
        <v>-24361.55555555555</v>
      </c>
      <c r="I19" s="8" t="n">
        <v>-13170.98148148148</v>
      </c>
      <c r="J19" s="8" t="n">
        <v>-11920.41666666667</v>
      </c>
      <c r="K19" s="8" t="n">
        <v>-7621.505007813184</v>
      </c>
      <c r="L19" s="8" t="n">
        <v>71522.5</v>
      </c>
      <c r="M19" s="8" t="n">
        <v>33377.16666666667</v>
      </c>
      <c r="N19" s="8" t="n">
        <v>8347.064504405891</v>
      </c>
      <c r="O19" s="8" t="n">
        <v>-200843.8525404443</v>
      </c>
      <c r="P19" s="8" t="n">
        <v>-19630952.66010091</v>
      </c>
    </row>
    <row r="20">
      <c r="A20" t="inlineStr">
        <is>
          <t>2027-07</t>
        </is>
      </c>
      <c r="B20" s="8" t="n">
        <v>0</v>
      </c>
      <c r="C20" s="8" t="n">
        <v>0</v>
      </c>
      <c r="D20" s="8" t="n">
        <v>-37450</v>
      </c>
      <c r="E20" s="8" t="n">
        <v>-602910</v>
      </c>
      <c r="F20" s="8" t="n">
        <v>-80000</v>
      </c>
      <c r="G20" s="8" t="n">
        <v>-8812.125</v>
      </c>
      <c r="H20" s="8" t="n">
        <v>-24135.33333333334</v>
      </c>
      <c r="I20" s="8" t="n">
        <v>-13041.25925925926</v>
      </c>
      <c r="J20" s="8" t="n">
        <v>-29373.75</v>
      </c>
      <c r="K20" s="8" t="n">
        <v>-18145.31962152869</v>
      </c>
      <c r="L20" s="8" t="n">
        <v>176242.5</v>
      </c>
      <c r="M20" s="8" t="n">
        <v>82246.5</v>
      </c>
      <c r="N20" s="8" t="n">
        <v>11129.41933920785</v>
      </c>
      <c r="O20" s="8" t="n">
        <v>-544249.3678749134</v>
      </c>
      <c r="P20" s="8" t="n">
        <v>-20175202.02797582</v>
      </c>
    </row>
    <row r="21">
      <c r="A21" t="inlineStr">
        <is>
          <t>2027-08</t>
        </is>
      </c>
      <c r="B21" s="8" t="n">
        <v>0</v>
      </c>
      <c r="C21" s="8" t="n">
        <v>0</v>
      </c>
      <c r="D21" s="8" t="n">
        <v>-37450</v>
      </c>
      <c r="E21" s="8" t="n">
        <v>-602910</v>
      </c>
      <c r="F21" s="8" t="n">
        <v>0</v>
      </c>
      <c r="G21" s="8" t="n">
        <v>-8812.125</v>
      </c>
      <c r="H21" s="8" t="n">
        <v>-23909.11111111111</v>
      </c>
      <c r="I21" s="8" t="n">
        <v>-12911.53703703704</v>
      </c>
      <c r="J21" s="8" t="n">
        <v>-29373.75</v>
      </c>
      <c r="K21" s="8" t="n">
        <v>-18606.73868928716</v>
      </c>
      <c r="L21" s="8" t="n">
        <v>176242.5</v>
      </c>
      <c r="M21" s="8" t="n">
        <v>82246.5</v>
      </c>
      <c r="N21" s="8" t="n">
        <v>17985.57190619845</v>
      </c>
      <c r="O21" s="8" t="n">
        <v>-457498.6899312368</v>
      </c>
      <c r="P21" s="8" t="n">
        <v>-20632700.71790706</v>
      </c>
    </row>
    <row r="22">
      <c r="A22" t="inlineStr">
        <is>
          <t>2027-09</t>
        </is>
      </c>
      <c r="B22" s="8" t="n">
        <v>0</v>
      </c>
      <c r="C22" s="8" t="n">
        <v>0</v>
      </c>
      <c r="D22" s="8" t="n">
        <v>-37450</v>
      </c>
      <c r="E22" s="8" t="n">
        <v>-602910</v>
      </c>
      <c r="F22" s="8" t="n">
        <v>0</v>
      </c>
      <c r="G22" s="8" t="n">
        <v>-8812.125</v>
      </c>
      <c r="H22" s="8" t="n">
        <v>-23682.88888888889</v>
      </c>
      <c r="I22" s="8" t="n">
        <v>-12781.81481481482</v>
      </c>
      <c r="J22" s="8" t="n">
        <v>-29373.75</v>
      </c>
      <c r="K22" s="8" t="n">
        <v>-19068.15775704562</v>
      </c>
      <c r="L22" s="8" t="n">
        <v>176242.5</v>
      </c>
      <c r="M22" s="8" t="n">
        <v>82246.5</v>
      </c>
      <c r="N22" s="8" t="n">
        <v>24841.72447318905</v>
      </c>
      <c r="O22" s="8" t="n">
        <v>-450748.0119875603</v>
      </c>
      <c r="P22" s="8" t="n">
        <v>-21083448.72989462</v>
      </c>
    </row>
    <row r="23">
      <c r="A23" t="inlineStr">
        <is>
          <t>2027-10</t>
        </is>
      </c>
      <c r="B23" s="8" t="n">
        <v>0</v>
      </c>
      <c r="C23" s="8" t="n">
        <v>0</v>
      </c>
      <c r="D23" s="8" t="n">
        <v>-19050</v>
      </c>
      <c r="E23" s="8" t="n">
        <v>-1039500</v>
      </c>
      <c r="F23" s="8" t="n">
        <v>-80000</v>
      </c>
      <c r="G23" s="8" t="n">
        <v>-14398.125</v>
      </c>
      <c r="H23" s="8" t="n">
        <v>-23293.11111111111</v>
      </c>
      <c r="I23" s="8" t="n">
        <v>-12582.27777777778</v>
      </c>
      <c r="J23" s="8" t="n">
        <v>-47993.75</v>
      </c>
      <c r="K23" s="8" t="n">
        <v>-30557.08562480409</v>
      </c>
      <c r="L23" s="8" t="n">
        <v>287962.5</v>
      </c>
      <c r="M23" s="8" t="n">
        <v>134382.5</v>
      </c>
      <c r="N23" s="8" t="n">
        <v>31697.87704017965</v>
      </c>
      <c r="O23" s="8" t="n">
        <v>-813331.4724735132</v>
      </c>
      <c r="P23" s="8" t="n">
        <v>-21896780.20236813</v>
      </c>
    </row>
    <row r="24">
      <c r="A24" t="inlineStr">
        <is>
          <t>2027-11</t>
        </is>
      </c>
      <c r="B24" s="8" t="n">
        <v>0</v>
      </c>
      <c r="C24" s="8" t="n">
        <v>0</v>
      </c>
      <c r="D24" s="8" t="n">
        <v>-19050</v>
      </c>
      <c r="E24" s="8" t="n">
        <v>-1039500</v>
      </c>
      <c r="F24" s="8" t="n">
        <v>0</v>
      </c>
      <c r="G24" s="8" t="n">
        <v>-14398.125</v>
      </c>
      <c r="H24" s="8" t="n">
        <v>-22903.33333333334</v>
      </c>
      <c r="I24" s="8" t="n">
        <v>-12382.74074074074</v>
      </c>
      <c r="J24" s="8" t="n">
        <v>-47993.75</v>
      </c>
      <c r="K24" s="8" t="n">
        <v>-31310.99792348005</v>
      </c>
      <c r="L24" s="8" t="n">
        <v>287962.5</v>
      </c>
      <c r="M24" s="8" t="n">
        <v>134382.5</v>
      </c>
      <c r="N24" s="8" t="n">
        <v>42900.14002199181</v>
      </c>
      <c r="O24" s="8" t="n">
        <v>-722293.8069755622</v>
      </c>
      <c r="P24" s="8" t="n">
        <v>-22619074.00934369</v>
      </c>
    </row>
    <row r="25">
      <c r="A25" t="inlineStr">
        <is>
          <t>2027-12</t>
        </is>
      </c>
      <c r="B25" s="8" t="n">
        <v>0</v>
      </c>
      <c r="C25" s="8" t="n">
        <v>0</v>
      </c>
      <c r="D25" s="8" t="n">
        <v>-19050</v>
      </c>
      <c r="E25" s="8" t="n">
        <v>-1039500</v>
      </c>
      <c r="F25" s="8" t="n">
        <v>0</v>
      </c>
      <c r="G25" s="8" t="n">
        <v>-14398.125</v>
      </c>
      <c r="H25" s="8" t="n">
        <v>-22513.55555555555</v>
      </c>
      <c r="I25" s="8" t="n">
        <v>-12183.2037037037</v>
      </c>
      <c r="J25" s="8" t="n">
        <v>-47993.75</v>
      </c>
      <c r="K25" s="8" t="n">
        <v>-32064.91022215601</v>
      </c>
      <c r="L25" s="8" t="n">
        <v>287962.5</v>
      </c>
      <c r="M25" s="8" t="n">
        <v>134382.5</v>
      </c>
      <c r="N25" s="8" t="n">
        <v>54102.40300380397</v>
      </c>
      <c r="O25" s="8" t="n">
        <v>-711256.1414776113</v>
      </c>
      <c r="P25" s="8" t="n">
        <v>-23330330.1508213</v>
      </c>
    </row>
    <row r="26">
      <c r="A26" t="inlineStr">
        <is>
          <t>2028-01</t>
        </is>
      </c>
      <c r="B26" s="8" t="n">
        <v>0</v>
      </c>
      <c r="C26" s="8" t="n">
        <v>0</v>
      </c>
      <c r="D26" s="8" t="n">
        <v>0</v>
      </c>
      <c r="E26" s="8" t="n">
        <v>-1490940</v>
      </c>
      <c r="F26" s="8" t="n">
        <v>-80000</v>
      </c>
      <c r="G26" s="8" t="n">
        <v>-21732.125</v>
      </c>
      <c r="H26" s="8" t="n">
        <v>-21954.44444444445</v>
      </c>
      <c r="I26" s="8" t="n">
        <v>-11901.18981481482</v>
      </c>
      <c r="J26" s="8" t="n">
        <v>-72440.41666666667</v>
      </c>
      <c r="K26" s="8" t="n">
        <v>-47297.11638749864</v>
      </c>
      <c r="L26" s="8" t="n">
        <v>434642.5</v>
      </c>
      <c r="M26" s="8" t="n">
        <v>202833.1666666667</v>
      </c>
      <c r="N26" s="8" t="n">
        <v>65304.66598561614</v>
      </c>
      <c r="O26" s="8" t="n">
        <v>-1043484.959661142</v>
      </c>
      <c r="P26" s="8" t="n">
        <v>-24373815.11048244</v>
      </c>
    </row>
    <row r="27">
      <c r="A27" t="inlineStr">
        <is>
          <t>2028-02</t>
        </is>
      </c>
      <c r="B27" s="8" t="n">
        <v>0</v>
      </c>
      <c r="C27" s="8" t="n">
        <v>0</v>
      </c>
      <c r="D27" s="8" t="n">
        <v>0</v>
      </c>
      <c r="E27" s="8" t="n">
        <v>-1490940</v>
      </c>
      <c r="F27" s="8" t="n">
        <v>0</v>
      </c>
      <c r="G27" s="8" t="n">
        <v>-21732.125</v>
      </c>
      <c r="H27" s="8" t="n">
        <v>-21395.33333333333</v>
      </c>
      <c r="I27" s="8" t="n">
        <v>-11619.17592592593</v>
      </c>
      <c r="J27" s="8" t="n">
        <v>-72440.41666666667</v>
      </c>
      <c r="K27" s="8" t="n">
        <v>-48435.05041112068</v>
      </c>
      <c r="L27" s="8" t="n">
        <v>434642.5</v>
      </c>
      <c r="M27" s="8" t="n">
        <v>202833.1666666667</v>
      </c>
      <c r="N27" s="8" t="n">
        <v>82213.04672294234</v>
      </c>
      <c r="O27" s="8" t="n">
        <v>-946873.3879474376</v>
      </c>
      <c r="P27" s="8" t="n">
        <v>-25320688.49842988</v>
      </c>
    </row>
    <row r="28">
      <c r="A28" t="inlineStr">
        <is>
          <t>2028-03</t>
        </is>
      </c>
      <c r="B28" s="8" t="n">
        <v>0</v>
      </c>
      <c r="C28" s="8" t="n">
        <v>0</v>
      </c>
      <c r="D28" s="8" t="n">
        <v>0</v>
      </c>
      <c r="E28" s="8" t="n">
        <v>-1291950</v>
      </c>
      <c r="F28" s="8" t="n">
        <v>0</v>
      </c>
      <c r="G28" s="8" t="n">
        <v>-21732.125</v>
      </c>
      <c r="H28" s="8" t="n">
        <v>-20836.22222222222</v>
      </c>
      <c r="I28" s="8" t="n">
        <v>-11337.16203703704</v>
      </c>
      <c r="J28" s="8" t="n">
        <v>-72440.41666666667</v>
      </c>
      <c r="K28" s="8" t="n">
        <v>-49572.98443474274</v>
      </c>
      <c r="L28" s="8" t="n">
        <v>434642.5</v>
      </c>
      <c r="M28" s="8" t="n">
        <v>202833.1666666667</v>
      </c>
      <c r="N28" s="8" t="n">
        <v>99121.42746026852</v>
      </c>
      <c r="O28" s="8" t="n">
        <v>-731271.8162337333</v>
      </c>
      <c r="P28" s="8" t="n">
        <v>-26051960.31466361</v>
      </c>
    </row>
    <row r="29">
      <c r="A29" t="inlineStr">
        <is>
          <t>2028-04</t>
        </is>
      </c>
      <c r="B29" s="8" t="n">
        <v>0</v>
      </c>
      <c r="C29" s="8" t="n">
        <v>0</v>
      </c>
      <c r="D29" s="8" t="n">
        <v>0</v>
      </c>
      <c r="E29" s="8" t="n">
        <v>-1291950</v>
      </c>
      <c r="F29" s="8" t="n">
        <v>0</v>
      </c>
      <c r="G29" s="8" t="n">
        <v>-21732.125</v>
      </c>
      <c r="H29" s="8" t="n">
        <v>-20277.11111111111</v>
      </c>
      <c r="I29" s="8" t="n">
        <v>-11055.14814814815</v>
      </c>
      <c r="J29" s="8" t="n">
        <v>-72440.41666666667</v>
      </c>
      <c r="K29" s="8" t="n">
        <v>-50719.34481998199</v>
      </c>
      <c r="L29" s="8" t="n">
        <v>434642.5</v>
      </c>
      <c r="M29" s="8" t="n">
        <v>202833.1666666667</v>
      </c>
      <c r="N29" s="8" t="n">
        <v>116155.0141651608</v>
      </c>
      <c r="O29" s="8" t="n">
        <v>-714543.4649140803</v>
      </c>
      <c r="P29" s="8" t="n">
        <v>-26766503.77957769</v>
      </c>
    </row>
    <row r="30">
      <c r="A30" t="inlineStr">
        <is>
          <t>2028-05</t>
        </is>
      </c>
      <c r="B30" s="8" t="n">
        <v>0</v>
      </c>
      <c r="C30" s="8" t="n">
        <v>0</v>
      </c>
      <c r="D30" s="8" t="n">
        <v>0</v>
      </c>
      <c r="E30" s="8" t="n">
        <v>-1291950</v>
      </c>
      <c r="F30" s="8" t="n">
        <v>0</v>
      </c>
      <c r="G30" s="8" t="n">
        <v>-21732.125</v>
      </c>
      <c r="H30" s="8" t="n">
        <v>-19718</v>
      </c>
      <c r="I30" s="8" t="n">
        <v>-10773.13425925926</v>
      </c>
      <c r="J30" s="8" t="n">
        <v>-72440.41666666667</v>
      </c>
      <c r="K30" s="8" t="n">
        <v>-51865.70520522124</v>
      </c>
      <c r="L30" s="8" t="n">
        <v>434642.5</v>
      </c>
      <c r="M30" s="8" t="n">
        <v>202833.1666666667</v>
      </c>
      <c r="N30" s="8" t="n">
        <v>133188.6008700531</v>
      </c>
      <c r="O30" s="8" t="n">
        <v>-697815.1135944274</v>
      </c>
      <c r="P30" s="8" t="n">
        <v>-27464318.89317212</v>
      </c>
    </row>
    <row r="31">
      <c r="A31" t="inlineStr">
        <is>
          <t>2028-06</t>
        </is>
      </c>
      <c r="B31" s="8" t="n">
        <v>0</v>
      </c>
      <c r="C31" s="8" t="n">
        <v>0</v>
      </c>
      <c r="D31" s="8" t="n">
        <v>0</v>
      </c>
      <c r="E31" s="8" t="n">
        <v>-1291950</v>
      </c>
      <c r="F31" s="8" t="n">
        <v>0</v>
      </c>
      <c r="G31" s="8" t="n">
        <v>-21732.125</v>
      </c>
      <c r="H31" s="8" t="n">
        <v>-19158.88888888889</v>
      </c>
      <c r="I31" s="8" t="n">
        <v>-10491.12037037037</v>
      </c>
      <c r="J31" s="8" t="n">
        <v>-72440.41666666667</v>
      </c>
      <c r="K31" s="8" t="n">
        <v>-53012.06559046049</v>
      </c>
      <c r="L31" s="8" t="n">
        <v>434642.5</v>
      </c>
      <c r="M31" s="8" t="n">
        <v>202833.1666666667</v>
      </c>
      <c r="N31" s="8" t="n">
        <v>150222.1875749453</v>
      </c>
      <c r="O31" s="8" t="n">
        <v>-681086.7622747744</v>
      </c>
      <c r="P31" s="8" t="n">
        <v>-28145405.65544689</v>
      </c>
    </row>
    <row r="32">
      <c r="A32" t="inlineStr">
        <is>
          <t>2028-07</t>
        </is>
      </c>
      <c r="B32" s="8" t="n">
        <v>0</v>
      </c>
      <c r="C32" s="8" t="n">
        <v>0</v>
      </c>
      <c r="D32" s="8" t="n">
        <v>0</v>
      </c>
      <c r="E32" s="8" t="n">
        <v>-888030</v>
      </c>
      <c r="F32" s="8" t="n">
        <v>0</v>
      </c>
      <c r="G32" s="8" t="n">
        <v>-21732.125</v>
      </c>
      <c r="H32" s="8" t="n">
        <v>-17519.77777777778</v>
      </c>
      <c r="I32" s="8" t="n">
        <v>-10035.85648148148</v>
      </c>
      <c r="J32" s="8" t="n">
        <v>-128661.7229950339</v>
      </c>
      <c r="K32" s="8" t="n">
        <v>-84427.97730289263</v>
      </c>
      <c r="L32" s="8" t="n">
        <v>434642.5</v>
      </c>
      <c r="M32" s="8" t="n">
        <v>652603.617293604</v>
      </c>
      <c r="N32" s="8" t="n">
        <v>167255.7742798376</v>
      </c>
      <c r="O32" s="8" t="n">
        <v>104094.4320162559</v>
      </c>
      <c r="P32" s="8" t="n">
        <v>-28041311.22343064</v>
      </c>
    </row>
    <row r="33">
      <c r="A33" t="inlineStr">
        <is>
          <t>2028-08</t>
        </is>
      </c>
      <c r="B33" s="8" t="n">
        <v>0</v>
      </c>
      <c r="C33" s="8" t="n">
        <v>0</v>
      </c>
      <c r="D33" s="8" t="n">
        <v>0</v>
      </c>
      <c r="E33" s="8" t="n">
        <v>-888030</v>
      </c>
      <c r="F33" s="8" t="n">
        <v>0</v>
      </c>
      <c r="G33" s="8" t="n">
        <v>-21732.125</v>
      </c>
      <c r="H33" s="8" t="n">
        <v>-16960.66666666666</v>
      </c>
      <c r="I33" s="8" t="n">
        <v>-9753.842592592591</v>
      </c>
      <c r="J33" s="8" t="n">
        <v>-72440.41666666667</v>
      </c>
      <c r="K33" s="8" t="n">
        <v>-59260.61043386764</v>
      </c>
      <c r="L33" s="8" t="n">
        <v>434642.5</v>
      </c>
      <c r="M33" s="8" t="n">
        <v>202833.1666666667</v>
      </c>
      <c r="N33" s="8" t="n">
        <v>243068.3219494943</v>
      </c>
      <c r="O33" s="8" t="n">
        <v>-187633.6727436325</v>
      </c>
      <c r="P33" s="8" t="n">
        <v>-28228944.89617427</v>
      </c>
    </row>
    <row r="34">
      <c r="A34" t="inlineStr">
        <is>
          <t>2028-09</t>
        </is>
      </c>
      <c r="B34" s="8" t="n">
        <v>0</v>
      </c>
      <c r="C34" s="8" t="n">
        <v>0</v>
      </c>
      <c r="D34" s="8" t="n">
        <v>0</v>
      </c>
      <c r="E34" s="8" t="n">
        <v>-888030</v>
      </c>
      <c r="F34" s="8" t="n">
        <v>0</v>
      </c>
      <c r="G34" s="8" t="n">
        <v>-21732.125</v>
      </c>
      <c r="H34" s="8" t="n">
        <v>-16401.55555555555</v>
      </c>
      <c r="I34" s="8" t="n">
        <v>-9471.828703703703</v>
      </c>
      <c r="J34" s="8" t="n">
        <v>-72440.41666666667</v>
      </c>
      <c r="K34" s="8" t="n">
        <v>-60419.30831553882</v>
      </c>
      <c r="L34" s="8" t="n">
        <v>434642.5</v>
      </c>
      <c r="M34" s="8" t="n">
        <v>202833.1666666667</v>
      </c>
      <c r="N34" s="8" t="n">
        <v>260285.2295523351</v>
      </c>
      <c r="O34" s="8" t="n">
        <v>-170734.338022463</v>
      </c>
      <c r="P34" s="8" t="n">
        <v>-28399679.23419673</v>
      </c>
    </row>
    <row r="35">
      <c r="A35" t="inlineStr">
        <is>
          <t>2028-10</t>
        </is>
      </c>
      <c r="B35" s="8" t="n">
        <v>0</v>
      </c>
      <c r="C35" s="8" t="n">
        <v>0</v>
      </c>
      <c r="D35" s="8" t="n">
        <v>0</v>
      </c>
      <c r="E35" s="8" t="n">
        <v>-451440</v>
      </c>
      <c r="F35" s="8" t="n">
        <v>0</v>
      </c>
      <c r="G35" s="8" t="n">
        <v>-21732.125</v>
      </c>
      <c r="H35" s="8" t="n">
        <v>-14332.44444444444</v>
      </c>
      <c r="I35" s="8" t="n">
        <v>-9001.064814814812</v>
      </c>
      <c r="J35" s="8" t="n">
        <v>-133578.1952562594</v>
      </c>
      <c r="K35" s="8" t="n">
        <v>-94494.58618984668</v>
      </c>
      <c r="L35" s="8" t="n">
        <v>434642.5</v>
      </c>
      <c r="M35" s="8" t="n">
        <v>691935.3953834082</v>
      </c>
      <c r="N35" s="8" t="n">
        <v>277502.1371551758</v>
      </c>
      <c r="O35" s="8" t="n">
        <v>679501.6168332188</v>
      </c>
      <c r="P35" s="8" t="n">
        <v>-27720177.61736352</v>
      </c>
    </row>
    <row r="36">
      <c r="A36" t="inlineStr">
        <is>
          <t>2028-11</t>
        </is>
      </c>
      <c r="B36" s="8" t="n">
        <v>0</v>
      </c>
      <c r="C36" s="8" t="n">
        <v>0</v>
      </c>
      <c r="D36" s="8" t="n">
        <v>0</v>
      </c>
      <c r="E36" s="8" t="n">
        <v>-451440</v>
      </c>
      <c r="F36" s="8" t="n">
        <v>0</v>
      </c>
      <c r="G36" s="8" t="n">
        <v>-21732.125</v>
      </c>
      <c r="H36" s="8" t="n">
        <v>-13773.33333333333</v>
      </c>
      <c r="I36" s="8" t="n">
        <v>-8719.050925925925</v>
      </c>
      <c r="J36" s="8" t="n">
        <v>-72440.41666666667</v>
      </c>
      <c r="K36" s="8" t="n">
        <v>-67038.20507196488</v>
      </c>
      <c r="L36" s="8" t="n">
        <v>434642.5</v>
      </c>
      <c r="M36" s="8" t="n">
        <v>202833.1666666667</v>
      </c>
      <c r="N36" s="8" t="n">
        <v>358634.3641203301</v>
      </c>
      <c r="O36" s="8" t="n">
        <v>360966.899789106</v>
      </c>
      <c r="P36" s="8" t="n">
        <v>-27359210.71757441</v>
      </c>
    </row>
    <row r="37">
      <c r="A37" t="inlineStr">
        <is>
          <t>2028-12</t>
        </is>
      </c>
      <c r="B37" s="8" t="n">
        <v>0</v>
      </c>
      <c r="C37" s="8" t="n">
        <v>0</v>
      </c>
      <c r="D37" s="8" t="n">
        <v>0</v>
      </c>
      <c r="E37" s="8" t="n">
        <v>-451440</v>
      </c>
      <c r="F37" s="8" t="n">
        <v>0</v>
      </c>
      <c r="G37" s="8" t="n">
        <v>-21732.125</v>
      </c>
      <c r="H37" s="8" t="n">
        <v>-13214.22222222222</v>
      </c>
      <c r="I37" s="8" t="n">
        <v>-8437.037037037036</v>
      </c>
      <c r="J37" s="8" t="n">
        <v>-72440.41666666667</v>
      </c>
      <c r="K37" s="8" t="n">
        <v>-68210.06514902736</v>
      </c>
      <c r="L37" s="8" t="n">
        <v>434642.5</v>
      </c>
      <c r="M37" s="8" t="n">
        <v>202833.1666666667</v>
      </c>
      <c r="N37" s="8" t="n">
        <v>376046.8466918378</v>
      </c>
      <c r="O37" s="8" t="n">
        <v>378048.6472835512</v>
      </c>
      <c r="P37" s="8" t="n">
        <v>-26981162.07029086</v>
      </c>
    </row>
    <row r="38">
      <c r="A38" t="inlineStr">
        <is>
          <t>2029-01</t>
        </is>
      </c>
      <c r="B38" s="8" t="n">
        <v>0</v>
      </c>
      <c r="C38" s="8" t="n">
        <v>0</v>
      </c>
      <c r="D38" s="8" t="n">
        <v>0</v>
      </c>
      <c r="E38" s="8" t="n">
        <v>0</v>
      </c>
      <c r="F38" s="8" t="n">
        <v>0</v>
      </c>
      <c r="G38" s="8" t="n">
        <v>-21732.125</v>
      </c>
      <c r="H38" s="8" t="n">
        <v>-12655.11111111111</v>
      </c>
      <c r="I38" s="8" t="n">
        <v>-8155.023148148147</v>
      </c>
      <c r="J38" s="8" t="n">
        <v>-72440.41666666667</v>
      </c>
      <c r="K38" s="8" t="n">
        <v>-69381.92522608982</v>
      </c>
      <c r="L38" s="8" t="n">
        <v>434642.5</v>
      </c>
      <c r="M38" s="8" t="n">
        <v>202833.1666666667</v>
      </c>
      <c r="N38" s="8" t="n">
        <v>393459.3292633456</v>
      </c>
      <c r="O38" s="8" t="n">
        <v>846570.3947779966</v>
      </c>
      <c r="P38" s="8" t="n">
        <v>-26134591.67551286</v>
      </c>
    </row>
    <row r="39">
      <c r="A39" t="inlineStr">
        <is>
          <t>2029-02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-21732.125</v>
      </c>
      <c r="H39" s="8" t="n">
        <v>-12096</v>
      </c>
      <c r="I39" s="8" t="n">
        <v>-7873.009259259258</v>
      </c>
      <c r="J39" s="8" t="n">
        <v>-72440.41666666667</v>
      </c>
      <c r="K39" s="8" t="n">
        <v>-70571.06628077487</v>
      </c>
      <c r="L39" s="8" t="n">
        <v>434642.5</v>
      </c>
      <c r="M39" s="8" t="n">
        <v>202833.1666666667</v>
      </c>
      <c r="N39" s="8" t="n">
        <v>411128.5871338515</v>
      </c>
      <c r="O39" s="8" t="n">
        <v>863891.6365938174</v>
      </c>
      <c r="P39" s="8" t="n">
        <v>-25270700.03891904</v>
      </c>
    </row>
    <row r="40">
      <c r="A40" t="inlineStr">
        <is>
          <t>2029-03</t>
        </is>
      </c>
      <c r="B40" s="8" t="n">
        <v>0</v>
      </c>
      <c r="C40" s="8" t="n">
        <v>0</v>
      </c>
      <c r="D40" s="8" t="n">
        <v>0</v>
      </c>
      <c r="E40" s="8" t="n">
        <v>0</v>
      </c>
      <c r="F40" s="8" t="n">
        <v>0</v>
      </c>
      <c r="G40" s="8" t="n">
        <v>-21732.125</v>
      </c>
      <c r="H40" s="8" t="n">
        <v>-11536.88888888889</v>
      </c>
      <c r="I40" s="8" t="n">
        <v>-7590.99537037037</v>
      </c>
      <c r="J40" s="8" t="n">
        <v>-72440.41666666667</v>
      </c>
      <c r="K40" s="8" t="n">
        <v>-71760.20733545991</v>
      </c>
      <c r="L40" s="8" t="n">
        <v>434642.5</v>
      </c>
      <c r="M40" s="8" t="n">
        <v>202833.1666666667</v>
      </c>
      <c r="N40" s="8" t="n">
        <v>428797.8450043573</v>
      </c>
      <c r="O40" s="8" t="n">
        <v>881212.8784096382</v>
      </c>
      <c r="P40" s="8" t="n">
        <v>-24389487.1605094</v>
      </c>
    </row>
    <row r="41">
      <c r="A41" t="inlineStr">
        <is>
          <t>2029-04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-21732.125</v>
      </c>
      <c r="H41" s="8" t="n">
        <v>-10177.77777777778</v>
      </c>
      <c r="I41" s="8" t="n">
        <v>-6381.48148148148</v>
      </c>
      <c r="J41" s="8" t="n">
        <v>-158623.2833634435</v>
      </c>
      <c r="K41" s="8" t="n">
        <v>-119359.0093675796</v>
      </c>
      <c r="L41" s="8" t="n">
        <v>434642.5</v>
      </c>
      <c r="M41" s="8" t="n">
        <v>892296.1002408812</v>
      </c>
      <c r="N41" s="8" t="n">
        <v>446597.9431109697</v>
      </c>
      <c r="O41" s="8" t="n">
        <v>1457262.866361569</v>
      </c>
      <c r="P41" s="8" t="n">
        <v>-22932224.29414783</v>
      </c>
    </row>
    <row r="42">
      <c r="A42" t="inlineStr">
        <is>
          <t>2029-05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-21732.125</v>
      </c>
      <c r="H42" s="8" t="n">
        <v>-8682.666666666664</v>
      </c>
      <c r="I42" s="8" t="n">
        <v>-4616.967592592592</v>
      </c>
      <c r="J42" s="8" t="n">
        <v>-193900.4178589899</v>
      </c>
      <c r="K42" s="8" t="n">
        <v>-145595.2217658696</v>
      </c>
      <c r="L42" s="8" t="n">
        <v>434642.5</v>
      </c>
      <c r="M42" s="8" t="n">
        <v>1174513.176205253</v>
      </c>
      <c r="N42" s="8" t="n">
        <v>554220.5758879071</v>
      </c>
      <c r="O42" s="8" t="n">
        <v>1788848.853209041</v>
      </c>
      <c r="P42" s="8" t="n">
        <v>-21143375.44093879</v>
      </c>
    </row>
    <row r="43">
      <c r="A43" t="inlineStr">
        <is>
          <t>2029-06</t>
        </is>
      </c>
      <c r="B43" s="8" t="n">
        <v>0</v>
      </c>
      <c r="C43" s="8" t="n">
        <v>0</v>
      </c>
      <c r="D43" s="8" t="n">
        <v>0</v>
      </c>
      <c r="E43" s="8" t="n">
        <v>0</v>
      </c>
      <c r="F43" s="8" t="n">
        <v>0</v>
      </c>
      <c r="G43" s="8" t="n">
        <v>-21732.125</v>
      </c>
      <c r="H43" s="8" t="n">
        <v>-8123.555555555553</v>
      </c>
      <c r="I43" s="8" t="n">
        <v>-4334.953703703703</v>
      </c>
      <c r="J43" s="8" t="n">
        <v>-72440.41666666667</v>
      </c>
      <c r="K43" s="8" t="n">
        <v>-89918.57642401371</v>
      </c>
      <c r="L43" s="8" t="n">
        <v>434642.5</v>
      </c>
      <c r="M43" s="8" t="n">
        <v>202833.1666666667</v>
      </c>
      <c r="N43" s="8" t="n">
        <v>698610.1642993619</v>
      </c>
      <c r="O43" s="8" t="n">
        <v>1139536.203616089</v>
      </c>
      <c r="P43" s="8" t="n">
        <v>-20003839.2373227</v>
      </c>
    </row>
    <row r="44">
      <c r="A44" t="inlineStr">
        <is>
          <t>2029-07</t>
        </is>
      </c>
      <c r="B44" s="8" t="n">
        <v>0</v>
      </c>
      <c r="C44" s="8" t="n">
        <v>0</v>
      </c>
      <c r="D44" s="8" t="n">
        <v>0</v>
      </c>
      <c r="E44" s="8" t="n">
        <v>0</v>
      </c>
      <c r="F44" s="8" t="n">
        <v>0</v>
      </c>
      <c r="G44" s="8" t="n">
        <v>-21732.125</v>
      </c>
      <c r="H44" s="8" t="n">
        <v>-7564.444444444442</v>
      </c>
      <c r="I44" s="8" t="n">
        <v>-4052.939814814813</v>
      </c>
      <c r="J44" s="8" t="n">
        <v>-72440.41666666667</v>
      </c>
      <c r="K44" s="8" t="n">
        <v>-91116.52302658874</v>
      </c>
      <c r="L44" s="8" t="n">
        <v>434642.5</v>
      </c>
      <c r="M44" s="8" t="n">
        <v>202833.1666666667</v>
      </c>
      <c r="N44" s="8" t="n">
        <v>716410.2624059742</v>
      </c>
      <c r="O44" s="8" t="n">
        <v>1156979.480120126</v>
      </c>
      <c r="P44" s="8" t="n">
        <v>-18846859.75720258</v>
      </c>
    </row>
    <row r="45">
      <c r="A45" t="inlineStr">
        <is>
          <t>2029-08</t>
        </is>
      </c>
      <c r="B45" s="8" t="n">
        <v>0</v>
      </c>
      <c r="C45" s="8" t="n">
        <v>0</v>
      </c>
      <c r="D45" s="8" t="n">
        <v>0</v>
      </c>
      <c r="E45" s="8" t="n">
        <v>0</v>
      </c>
      <c r="F45" s="8" t="n">
        <v>0</v>
      </c>
      <c r="G45" s="8" t="n">
        <v>-21732.125</v>
      </c>
      <c r="H45" s="8" t="n">
        <v>-6797.33333333333</v>
      </c>
      <c r="I45" s="8" t="n">
        <v>-3279.259259259257</v>
      </c>
      <c r="J45" s="8" t="n">
        <v>-113495.8520904064</v>
      </c>
      <c r="K45" s="8" t="n">
        <v>-110488.1221685799</v>
      </c>
      <c r="L45" s="8" t="n">
        <v>434642.5</v>
      </c>
      <c r="M45" s="8" t="n">
        <v>531276.6500565845</v>
      </c>
      <c r="N45" s="8" t="n">
        <v>675806.290784127</v>
      </c>
      <c r="O45" s="8" t="n">
        <v>1385932.748989132</v>
      </c>
      <c r="P45" s="8" t="n">
        <v>-17460927.00821345</v>
      </c>
    </row>
    <row r="46">
      <c r="A46" t="inlineStr">
        <is>
          <t>2029-09</t>
        </is>
      </c>
      <c r="B46" s="8" t="n">
        <v>0</v>
      </c>
      <c r="C46" s="8" t="n">
        <v>0</v>
      </c>
      <c r="D46" s="8" t="n">
        <v>0</v>
      </c>
      <c r="E46" s="8" t="n">
        <v>0</v>
      </c>
      <c r="F46" s="8" t="n">
        <v>0</v>
      </c>
      <c r="G46" s="8" t="n">
        <v>-21732.125</v>
      </c>
      <c r="H46" s="8" t="n">
        <v>-6238.222222222218</v>
      </c>
      <c r="I46" s="8" t="n">
        <v>-2997.245370370369</v>
      </c>
      <c r="J46" s="8" t="n">
        <v>-72440.41666666667</v>
      </c>
      <c r="K46" s="8" t="n">
        <v>-92474.43392401666</v>
      </c>
      <c r="L46" s="8" t="n">
        <v>434642.5</v>
      </c>
      <c r="M46" s="8" t="n">
        <v>202833.1666666667</v>
      </c>
      <c r="N46" s="8" t="n">
        <v>736587.2445371469</v>
      </c>
      <c r="O46" s="8" t="n">
        <v>1178180.468020538</v>
      </c>
      <c r="P46" s="8" t="n">
        <v>-16282746.54019291</v>
      </c>
    </row>
    <row r="47">
      <c r="A47" t="inlineStr">
        <is>
          <t>2029-10</t>
        </is>
      </c>
      <c r="B47" s="8" t="n">
        <v>0</v>
      </c>
      <c r="C47" s="8" t="n">
        <v>0</v>
      </c>
      <c r="D47" s="8" t="n">
        <v>0</v>
      </c>
      <c r="E47" s="8" t="n">
        <v>0</v>
      </c>
      <c r="F47" s="8" t="n">
        <v>0</v>
      </c>
      <c r="G47" s="8" t="n">
        <v>-21732.125</v>
      </c>
      <c r="H47" s="8" t="n">
        <v>-5679.111111111107</v>
      </c>
      <c r="I47" s="8" t="n">
        <v>-2715.231481481479</v>
      </c>
      <c r="J47" s="8" t="n">
        <v>-72440.41666666667</v>
      </c>
      <c r="K47" s="8" t="n">
        <v>-93685.27321036303</v>
      </c>
      <c r="L47" s="8" t="n">
        <v>434642.5</v>
      </c>
      <c r="M47" s="8" t="n">
        <v>202833.1666666667</v>
      </c>
      <c r="N47" s="8" t="n">
        <v>754578.9129821155</v>
      </c>
      <c r="O47" s="8" t="n">
        <v>1195802.42217916</v>
      </c>
      <c r="P47" s="8" t="n">
        <v>-15086944.11801375</v>
      </c>
    </row>
    <row r="48">
      <c r="A48" t="inlineStr">
        <is>
          <t>2029-11</t>
        </is>
      </c>
      <c r="B48" s="8" t="n">
        <v>0</v>
      </c>
      <c r="C48" s="8" t="n">
        <v>0</v>
      </c>
      <c r="D48" s="8" t="n">
        <v>0</v>
      </c>
      <c r="E48" s="8" t="n">
        <v>0</v>
      </c>
      <c r="F48" s="8" t="n">
        <v>0</v>
      </c>
      <c r="G48" s="8" t="n">
        <v>-21732.125</v>
      </c>
      <c r="H48" s="8" t="n">
        <v>-5119.999999999995</v>
      </c>
      <c r="I48" s="8" t="n">
        <v>-2433.21759259259</v>
      </c>
      <c r="J48" s="8" t="n">
        <v>-72440.41666666667</v>
      </c>
      <c r="K48" s="8" t="n">
        <v>-90621.52819320091</v>
      </c>
      <c r="L48" s="8" t="n">
        <v>434642.5</v>
      </c>
      <c r="M48" s="8" t="n">
        <v>202833.1666666667</v>
      </c>
      <c r="N48" s="8" t="n">
        <v>709055.2128756945</v>
      </c>
      <c r="O48" s="8" t="n">
        <v>1154183.592089901</v>
      </c>
      <c r="P48" s="8" t="n">
        <v>-13932760.52592385</v>
      </c>
    </row>
    <row r="49">
      <c r="A49" t="inlineStr">
        <is>
          <t>2029-12</t>
        </is>
      </c>
      <c r="B49" s="8" t="n">
        <v>0</v>
      </c>
      <c r="C49" s="8" t="n">
        <v>0</v>
      </c>
      <c r="D49" s="8" t="n">
        <v>0</v>
      </c>
      <c r="E49" s="8" t="n">
        <v>0</v>
      </c>
      <c r="F49" s="8" t="n">
        <v>0</v>
      </c>
      <c r="G49" s="8" t="n">
        <v>-21732.125</v>
      </c>
      <c r="H49" s="8" t="n">
        <v>-4560.888888888884</v>
      </c>
      <c r="I49" s="8" t="n">
        <v>-2151.203703703702</v>
      </c>
      <c r="J49" s="8" t="n">
        <v>-72440.41666666667</v>
      </c>
      <c r="K49" s="8" t="n">
        <v>-91846.12197373119</v>
      </c>
      <c r="L49" s="8" t="n">
        <v>434642.5</v>
      </c>
      <c r="M49" s="8" t="n">
        <v>202833.1666666667</v>
      </c>
      <c r="N49" s="8" t="n">
        <v>727251.2571629202</v>
      </c>
      <c r="O49" s="8" t="n">
        <v>1171996.167596596</v>
      </c>
      <c r="P49" s="8" t="n">
        <v>-12760764.35832725</v>
      </c>
    </row>
    <row r="50">
      <c r="A50" t="inlineStr">
        <is>
          <t>2030-01</t>
        </is>
      </c>
      <c r="B50" s="8" t="n">
        <v>0</v>
      </c>
      <c r="C50" s="8" t="n">
        <v>0</v>
      </c>
      <c r="D50" s="8" t="n">
        <v>0</v>
      </c>
      <c r="E50" s="8" t="n">
        <v>0</v>
      </c>
      <c r="F50" s="8" t="n">
        <v>0</v>
      </c>
      <c r="G50" s="8" t="n">
        <v>-21732.125</v>
      </c>
      <c r="H50" s="8" t="n">
        <v>-4001.777777777773</v>
      </c>
      <c r="I50" s="8" t="n">
        <v>-1869.189814814813</v>
      </c>
      <c r="J50" s="8" t="n">
        <v>-72440.41666666667</v>
      </c>
      <c r="K50" s="8" t="n">
        <v>-93070.71575426147</v>
      </c>
      <c r="L50" s="8" t="n">
        <v>434642.5</v>
      </c>
      <c r="M50" s="8" t="n">
        <v>202833.1666666667</v>
      </c>
      <c r="N50" s="8" t="n">
        <v>745447.3014501457</v>
      </c>
      <c r="O50" s="8" t="n">
        <v>1189808.743103292</v>
      </c>
      <c r="P50" s="8" t="n">
        <v>-11570955.61522396</v>
      </c>
    </row>
    <row r="51">
      <c r="A51" t="inlineStr">
        <is>
          <t>2030-02</t>
        </is>
      </c>
      <c r="B51" s="8" t="n">
        <v>0</v>
      </c>
      <c r="C51" s="8" t="n">
        <v>0</v>
      </c>
      <c r="D51" s="8" t="n">
        <v>0</v>
      </c>
      <c r="E51" s="8" t="n">
        <v>0</v>
      </c>
      <c r="F51" s="8" t="n">
        <v>0</v>
      </c>
      <c r="G51" s="8" t="n">
        <v>-21732.125</v>
      </c>
      <c r="H51" s="8" t="n">
        <v>-3442.666666666662</v>
      </c>
      <c r="I51" s="8" t="n">
        <v>-1587.175925925924</v>
      </c>
      <c r="J51" s="8" t="n">
        <v>-72440.41666666667</v>
      </c>
      <c r="K51" s="8" t="n">
        <v>-94313.36815640735</v>
      </c>
      <c r="L51" s="8" t="n">
        <v>434642.5</v>
      </c>
      <c r="M51" s="8" t="n">
        <v>202833.1666666667</v>
      </c>
      <c r="N51" s="8" t="n">
        <v>763911.6759248243</v>
      </c>
      <c r="O51" s="8" t="n">
        <v>1207871.590175824</v>
      </c>
      <c r="P51" s="8" t="n">
        <v>-10363084.02504813</v>
      </c>
    </row>
    <row r="52">
      <c r="A52" t="inlineStr">
        <is>
          <t>2030-03</t>
        </is>
      </c>
      <c r="B52" s="8" t="n">
        <v>0</v>
      </c>
      <c r="C52" s="8" t="n">
        <v>0</v>
      </c>
      <c r="D52" s="8" t="n">
        <v>0</v>
      </c>
      <c r="E52" s="8" t="n">
        <v>0</v>
      </c>
      <c r="F52" s="8" t="n">
        <v>0</v>
      </c>
      <c r="G52" s="8" t="n">
        <v>-18156</v>
      </c>
      <c r="H52" s="8" t="n">
        <v>-2958.666666666662</v>
      </c>
      <c r="I52" s="8" t="n">
        <v>-1366.458333333331</v>
      </c>
      <c r="J52" s="8" t="n">
        <v>-60520</v>
      </c>
      <c r="K52" s="8" t="n">
        <v>-88496.27299188654</v>
      </c>
      <c r="L52" s="8" t="n">
        <v>363120</v>
      </c>
      <c r="M52" s="8" t="n">
        <v>169456</v>
      </c>
      <c r="N52" s="8" t="n">
        <v>782376.050399503</v>
      </c>
      <c r="O52" s="8" t="n">
        <v>1143454.652407616</v>
      </c>
      <c r="P52" s="8" t="n">
        <v>-9219629.372640518</v>
      </c>
    </row>
    <row r="53">
      <c r="A53" t="inlineStr">
        <is>
          <t>2030-04</t>
        </is>
      </c>
      <c r="B53" s="8" t="n">
        <v>0</v>
      </c>
      <c r="C53" s="8" t="n">
        <v>0</v>
      </c>
      <c r="D53" s="8" t="n">
        <v>0</v>
      </c>
      <c r="E53" s="8" t="n">
        <v>0</v>
      </c>
      <c r="F53" s="8" t="n">
        <v>0</v>
      </c>
      <c r="G53" s="8" t="n">
        <v>-18156</v>
      </c>
      <c r="H53" s="8" t="n">
        <v>-2474.666666666662</v>
      </c>
      <c r="I53" s="8" t="n">
        <v>-1145.740740740739</v>
      </c>
      <c r="J53" s="8" t="n">
        <v>-60520</v>
      </c>
      <c r="K53" s="8" t="n">
        <v>-89560.87471119527</v>
      </c>
      <c r="L53" s="8" t="n">
        <v>363120</v>
      </c>
      <c r="M53" s="8" t="n">
        <v>169456</v>
      </c>
      <c r="N53" s="8" t="n">
        <v>798194.798086111</v>
      </c>
      <c r="O53" s="8" t="n">
        <v>1158913.515967508</v>
      </c>
      <c r="P53" s="8" t="n">
        <v>-8060715.85667301</v>
      </c>
    </row>
    <row r="54">
      <c r="A54" t="inlineStr">
        <is>
          <t>2030-05</t>
        </is>
      </c>
      <c r="B54" s="8" t="n">
        <v>0</v>
      </c>
      <c r="C54" s="8" t="n">
        <v>0</v>
      </c>
      <c r="D54" s="8" t="n">
        <v>0</v>
      </c>
      <c r="E54" s="8" t="n">
        <v>0</v>
      </c>
      <c r="F54" s="8" t="n">
        <v>0</v>
      </c>
      <c r="G54" s="8" t="n">
        <v>-18156</v>
      </c>
      <c r="H54" s="8" t="n">
        <v>-1990.666666666662</v>
      </c>
      <c r="I54" s="8" t="n">
        <v>-925.023148148146</v>
      </c>
      <c r="J54" s="8" t="n">
        <v>-60520</v>
      </c>
      <c r="K54" s="8" t="n">
        <v>-84580.41984719114</v>
      </c>
      <c r="L54" s="8" t="n">
        <v>363120</v>
      </c>
      <c r="M54" s="8" t="n">
        <v>169456</v>
      </c>
      <c r="N54" s="8" t="n">
        <v>724191.0111023942</v>
      </c>
      <c r="O54" s="8" t="n">
        <v>1090594.901440388</v>
      </c>
      <c r="P54" s="8" t="n">
        <v>-6970120.955232622</v>
      </c>
    </row>
    <row r="55">
      <c r="A55" t="inlineStr">
        <is>
          <t>2030-06</t>
        </is>
      </c>
      <c r="B55" s="8" t="n">
        <v>0</v>
      </c>
      <c r="C55" s="8" t="n">
        <v>0</v>
      </c>
      <c r="D55" s="8" t="n">
        <v>0</v>
      </c>
      <c r="E55" s="8" t="n">
        <v>0</v>
      </c>
      <c r="F55" s="8" t="n">
        <v>0</v>
      </c>
      <c r="G55" s="8" t="n">
        <v>-18156</v>
      </c>
      <c r="H55" s="8" t="n">
        <v>-1506.666666666663</v>
      </c>
      <c r="I55" s="8" t="n">
        <v>-704.3055555555541</v>
      </c>
      <c r="J55" s="8" t="n">
        <v>-60520</v>
      </c>
      <c r="K55" s="8" t="n">
        <v>-77125.54886898394</v>
      </c>
      <c r="L55" s="8" t="n">
        <v>363120</v>
      </c>
      <c r="M55" s="8" t="n">
        <v>169456</v>
      </c>
      <c r="N55" s="8" t="n">
        <v>613420.2684841597</v>
      </c>
      <c r="O55" s="8" t="n">
        <v>987983.7473929536</v>
      </c>
      <c r="P55" s="8" t="n">
        <v>-5982137.207839669</v>
      </c>
    </row>
    <row r="56">
      <c r="A56" t="inlineStr">
        <is>
          <t>2030-07</t>
        </is>
      </c>
      <c r="B56" s="8" t="n">
        <v>0</v>
      </c>
      <c r="C56" s="8" t="n">
        <v>0</v>
      </c>
      <c r="D56" s="8" t="n">
        <v>0</v>
      </c>
      <c r="E56" s="8" t="n">
        <v>0</v>
      </c>
      <c r="F56" s="8" t="n">
        <v>0</v>
      </c>
      <c r="G56" s="8" t="n">
        <v>-12920</v>
      </c>
      <c r="H56" s="8" t="n">
        <v>-1173.777777777774</v>
      </c>
      <c r="I56" s="8" t="n">
        <v>-552.0138888888873</v>
      </c>
      <c r="J56" s="8" t="n">
        <v>-43066.66666666667</v>
      </c>
      <c r="K56" s="8" t="n">
        <v>-67853.58845495933</v>
      </c>
      <c r="L56" s="8" t="n">
        <v>258400</v>
      </c>
      <c r="M56" s="8" t="n">
        <v>120586.6666666667</v>
      </c>
      <c r="N56" s="8" t="n">
        <v>629239.0161707677</v>
      </c>
      <c r="O56" s="8" t="n">
        <v>882659.6360491418</v>
      </c>
      <c r="P56" s="8" t="n">
        <v>-5099477.571790527</v>
      </c>
    </row>
    <row r="57">
      <c r="A57" t="inlineStr">
        <is>
          <t>2030-08</t>
        </is>
      </c>
      <c r="B57" s="8" t="n">
        <v>0</v>
      </c>
      <c r="C57" s="8" t="n">
        <v>0</v>
      </c>
      <c r="D57" s="8" t="n">
        <v>0</v>
      </c>
      <c r="E57" s="8" t="n">
        <v>0</v>
      </c>
      <c r="F57" s="8" t="n">
        <v>0</v>
      </c>
      <c r="G57" s="8" t="n">
        <v>-12920</v>
      </c>
      <c r="H57" s="8" t="n">
        <v>-840.8888888888853</v>
      </c>
      <c r="I57" s="8" t="n">
        <v>-399.7222222222206</v>
      </c>
      <c r="J57" s="8" t="n">
        <v>-43066.66666666667</v>
      </c>
      <c r="K57" s="8" t="n">
        <v>-68657.49644143283</v>
      </c>
      <c r="L57" s="8" t="n">
        <v>258400</v>
      </c>
      <c r="M57" s="8" t="n">
        <v>120586.6666666667</v>
      </c>
      <c r="N57" s="8" t="n">
        <v>641184.1571287693</v>
      </c>
      <c r="O57" s="8" t="n">
        <v>894286.0495762255</v>
      </c>
      <c r="P57" s="8" t="n">
        <v>-4205191.522214301</v>
      </c>
    </row>
    <row r="58">
      <c r="A58" t="inlineStr">
        <is>
          <t>2030-09</t>
        </is>
      </c>
      <c r="B58" s="8" t="n">
        <v>0</v>
      </c>
      <c r="C58" s="8" t="n">
        <v>0</v>
      </c>
      <c r="D58" s="8" t="n">
        <v>0</v>
      </c>
      <c r="E58" s="8" t="n">
        <v>0</v>
      </c>
      <c r="F58" s="8" t="n">
        <v>0</v>
      </c>
      <c r="G58" s="8" t="n">
        <v>-12920</v>
      </c>
      <c r="H58" s="8" t="n">
        <v>-507.9999999999982</v>
      </c>
      <c r="I58" s="8" t="n">
        <v>-247.4305555555547</v>
      </c>
      <c r="J58" s="8" t="n">
        <v>-43066.66666666667</v>
      </c>
      <c r="K58" s="8" t="n">
        <v>-66581.6855266745</v>
      </c>
      <c r="L58" s="8" t="n">
        <v>258400</v>
      </c>
      <c r="M58" s="8" t="n">
        <v>120586.6666666667</v>
      </c>
      <c r="N58" s="8" t="n">
        <v>610340.0127787197</v>
      </c>
      <c r="O58" s="8" t="n">
        <v>866002.8966964895</v>
      </c>
      <c r="P58" s="8" t="n">
        <v>-3339188.625517812</v>
      </c>
    </row>
    <row r="59">
      <c r="A59" t="inlineStr">
        <is>
          <t>2030-10</t>
        </is>
      </c>
      <c r="B59" s="8" t="n">
        <v>0</v>
      </c>
      <c r="C59" s="8" t="n">
        <v>0</v>
      </c>
      <c r="D59" s="8" t="n">
        <v>0</v>
      </c>
      <c r="E59" s="8" t="n">
        <v>0</v>
      </c>
      <c r="F59" s="8" t="n">
        <v>0</v>
      </c>
      <c r="G59" s="8" t="n">
        <v>-7334</v>
      </c>
      <c r="H59" s="8" t="n">
        <v>-338.6666666666648</v>
      </c>
      <c r="I59" s="8" t="n">
        <v>-164.9537037037028</v>
      </c>
      <c r="J59" s="8" t="n">
        <v>-24446.66666666667</v>
      </c>
      <c r="K59" s="8" t="n">
        <v>-56358.084713148</v>
      </c>
      <c r="L59" s="8" t="n">
        <v>146680</v>
      </c>
      <c r="M59" s="8" t="n">
        <v>68450.66666666667</v>
      </c>
      <c r="N59" s="8" t="n">
        <v>622285.153736721</v>
      </c>
      <c r="O59" s="8" t="n">
        <v>748773.4486532027</v>
      </c>
      <c r="P59" s="8" t="n">
        <v>-2590415.176864609</v>
      </c>
    </row>
    <row r="60">
      <c r="A60" t="inlineStr">
        <is>
          <t>2030-11</t>
        </is>
      </c>
      <c r="B60" s="8" t="n">
        <v>0</v>
      </c>
      <c r="C60" s="8" t="n">
        <v>0</v>
      </c>
      <c r="D60" s="8" t="n">
        <v>0</v>
      </c>
      <c r="E60" s="8" t="n">
        <v>0</v>
      </c>
      <c r="F60" s="8" t="n">
        <v>0</v>
      </c>
      <c r="G60" s="8" t="n">
        <v>-7334</v>
      </c>
      <c r="H60" s="8" t="n">
        <v>-169.3333333333314</v>
      </c>
      <c r="I60" s="8" t="n">
        <v>-82.47685185185091</v>
      </c>
      <c r="J60" s="8" t="n">
        <v>-24446.66666666667</v>
      </c>
      <c r="K60" s="8" t="n">
        <v>-56883.87291512618</v>
      </c>
      <c r="L60" s="8" t="n">
        <v>146680</v>
      </c>
      <c r="M60" s="8" t="n">
        <v>68450.66666666667</v>
      </c>
      <c r="N60" s="8" t="n">
        <v>630097.7570350597</v>
      </c>
      <c r="O60" s="8" t="n">
        <v>756312.0739347483</v>
      </c>
      <c r="P60" s="8" t="n">
        <v>-1834103.102929861</v>
      </c>
    </row>
    <row r="61">
      <c r="A61" t="inlineStr">
        <is>
          <t>2030-12</t>
        </is>
      </c>
      <c r="B61" s="8" t="n">
        <v>0</v>
      </c>
      <c r="C61" s="8" t="n">
        <v>0</v>
      </c>
      <c r="D61" s="8" t="n">
        <v>0</v>
      </c>
      <c r="E61" s="8" t="n">
        <v>0</v>
      </c>
      <c r="F61" s="8" t="n">
        <v>0</v>
      </c>
      <c r="G61" s="8" t="n">
        <v>-7334</v>
      </c>
      <c r="H61" s="8" t="n">
        <v>0</v>
      </c>
      <c r="I61" s="8" t="n">
        <v>0</v>
      </c>
      <c r="J61" s="8" t="n">
        <v>-24446.66666666667</v>
      </c>
      <c r="K61" s="8" t="n">
        <v>-57409.66111710437</v>
      </c>
      <c r="L61" s="8" t="n">
        <v>146680</v>
      </c>
      <c r="M61" s="8" t="n">
        <v>68450.66666666667</v>
      </c>
      <c r="N61" s="8" t="n">
        <v>637910.3603333982</v>
      </c>
      <c r="O61" s="8" t="n">
        <v>763850.6992162939</v>
      </c>
      <c r="P61" s="8" t="n">
        <v>-1070252.403713567</v>
      </c>
    </row>
    <row r="62">
      <c r="A62" t="inlineStr">
        <is>
          <t>2031-01</t>
        </is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0</v>
      </c>
      <c r="G62" s="8" t="n">
        <v>0</v>
      </c>
      <c r="H62" s="8" t="n">
        <v>0</v>
      </c>
      <c r="I62" s="8" t="n">
        <v>0</v>
      </c>
      <c r="J62" s="8" t="n">
        <v>0</v>
      </c>
      <c r="K62" s="8" t="n">
        <v>-43457.15545241589</v>
      </c>
      <c r="L62" s="8" t="n">
        <v>0</v>
      </c>
      <c r="M62" s="8" t="n">
        <v>0</v>
      </c>
      <c r="N62" s="8" t="n">
        <v>645722.9636317368</v>
      </c>
      <c r="O62" s="8" t="n">
        <v>602265.808179321</v>
      </c>
      <c r="P62" s="8" t="n">
        <v>-467986.5955342459</v>
      </c>
    </row>
    <row r="63">
      <c r="A63" t="inlineStr">
        <is>
          <t>2031-02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-43617.79318903627</v>
      </c>
      <c r="L63" s="8" t="n">
        <v>0</v>
      </c>
      <c r="M63" s="8" t="n">
        <v>0</v>
      </c>
      <c r="N63" s="8" t="n">
        <v>648109.8542204498</v>
      </c>
      <c r="O63" s="8" t="n">
        <v>604492.0610314135</v>
      </c>
      <c r="P63" s="8" t="n">
        <v>136505.4654971675</v>
      </c>
    </row>
    <row r="64">
      <c r="A64" t="inlineStr">
        <is>
          <t>2031-03</t>
        </is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0</v>
      </c>
      <c r="G64" s="8" t="n">
        <v>0</v>
      </c>
      <c r="H64" s="8" t="n">
        <v>0</v>
      </c>
      <c r="I64" s="8" t="n">
        <v>0</v>
      </c>
      <c r="J64" s="8" t="n">
        <v>0</v>
      </c>
      <c r="K64" s="8" t="n">
        <v>-43778.43092565666</v>
      </c>
      <c r="L64" s="8" t="n">
        <v>0</v>
      </c>
      <c r="M64" s="8" t="n">
        <v>0</v>
      </c>
      <c r="N64" s="8" t="n">
        <v>650496.7448091628</v>
      </c>
      <c r="O64" s="8" t="n">
        <v>606718.3138835061</v>
      </c>
      <c r="P64" s="8" t="n">
        <v>743223.7793806737</v>
      </c>
    </row>
    <row r="65">
      <c r="A65" t="inlineStr">
        <is>
          <t>2031-04</t>
        </is>
      </c>
      <c r="B65" s="8" t="n">
        <v>0</v>
      </c>
      <c r="C65" s="8" t="n">
        <v>0</v>
      </c>
      <c r="D65" s="8" t="n">
        <v>0</v>
      </c>
      <c r="E65" s="8" t="n">
        <v>0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-43940.25817909439</v>
      </c>
      <c r="L65" s="8" t="n">
        <v>0</v>
      </c>
      <c r="M65" s="8" t="n">
        <v>0</v>
      </c>
      <c r="N65" s="8" t="n">
        <v>652901.3102391439</v>
      </c>
      <c r="O65" s="8" t="n">
        <v>608961.0520600496</v>
      </c>
      <c r="P65" s="8" t="n">
        <v>1352184.831440723</v>
      </c>
    </row>
    <row r="66">
      <c r="A66" t="inlineStr">
        <is>
          <t>2031-05</t>
        </is>
      </c>
      <c r="B66" s="8" t="n">
        <v>0</v>
      </c>
      <c r="C66" s="8" t="n">
        <v>0</v>
      </c>
      <c r="D66" s="8" t="n">
        <v>0</v>
      </c>
      <c r="E66" s="8" t="n">
        <v>0</v>
      </c>
      <c r="F66" s="8" t="n">
        <v>0</v>
      </c>
      <c r="G66" s="8" t="n">
        <v>0</v>
      </c>
      <c r="H66" s="8" t="n">
        <v>0</v>
      </c>
      <c r="I66" s="8" t="n">
        <v>0</v>
      </c>
      <c r="J66" s="8" t="n">
        <v>0</v>
      </c>
      <c r="K66" s="8" t="n">
        <v>-44102.08543253212</v>
      </c>
      <c r="L66" s="8" t="n">
        <v>0</v>
      </c>
      <c r="M66" s="8" t="n">
        <v>0</v>
      </c>
      <c r="N66" s="8" t="n">
        <v>655305.8756691251</v>
      </c>
      <c r="O66" s="8" t="n">
        <v>611203.790236593</v>
      </c>
      <c r="P66" s="8" t="n">
        <v>1963388.621677316</v>
      </c>
    </row>
    <row r="67">
      <c r="A67" t="inlineStr">
        <is>
          <t>2031-06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-44263.91268596985</v>
      </c>
      <c r="L67" s="8" t="n">
        <v>0</v>
      </c>
      <c r="M67" s="8" t="n">
        <v>0</v>
      </c>
      <c r="N67" s="8" t="n">
        <v>657710.4410991063</v>
      </c>
      <c r="O67" s="8" t="n">
        <v>613446.5284131365</v>
      </c>
      <c r="P67" s="8" t="n">
        <v>2576835.150090453</v>
      </c>
    </row>
    <row r="68">
      <c r="A68" t="inlineStr">
        <is>
          <t>2031-07</t>
        </is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0</v>
      </c>
      <c r="G68" s="8" t="n">
        <v>0</v>
      </c>
      <c r="H68" s="8" t="n">
        <v>0</v>
      </c>
      <c r="I68" s="8" t="n">
        <v>0</v>
      </c>
      <c r="J68" s="8" t="n">
        <v>0</v>
      </c>
      <c r="K68" s="8" t="n">
        <v>-44425.73993940758</v>
      </c>
      <c r="L68" s="8" t="n">
        <v>0</v>
      </c>
      <c r="M68" s="8" t="n">
        <v>0</v>
      </c>
      <c r="N68" s="8" t="n">
        <v>660115.0065290876</v>
      </c>
      <c r="O68" s="8" t="n">
        <v>615689.2665896799</v>
      </c>
      <c r="P68" s="8" t="n">
        <v>3192524.416680133</v>
      </c>
    </row>
    <row r="69">
      <c r="A69" t="inlineStr">
        <is>
          <t>2031-08</t>
        </is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0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-44589.30882940882</v>
      </c>
      <c r="L69" s="8" t="n">
        <v>0</v>
      </c>
      <c r="M69" s="8" t="n">
        <v>0</v>
      </c>
      <c r="N69" s="8" t="n">
        <v>662545.4506598635</v>
      </c>
      <c r="O69" s="8" t="n">
        <v>617956.1418304547</v>
      </c>
      <c r="P69" s="8" t="n">
        <v>3810480.558510587</v>
      </c>
    </row>
    <row r="70">
      <c r="A70" t="inlineStr">
        <is>
          <t>2031-09</t>
        </is>
      </c>
      <c r="B70" s="8" t="n">
        <v>0</v>
      </c>
      <c r="C70" s="8" t="n">
        <v>0</v>
      </c>
      <c r="D70" s="8" t="n">
        <v>0</v>
      </c>
      <c r="E70" s="8" t="n">
        <v>0</v>
      </c>
      <c r="F70" s="8" t="n">
        <v>0</v>
      </c>
      <c r="G70" s="8" t="n">
        <v>0</v>
      </c>
      <c r="H70" s="8" t="n">
        <v>0</v>
      </c>
      <c r="I70" s="8" t="n">
        <v>0</v>
      </c>
      <c r="J70" s="8" t="n">
        <v>0</v>
      </c>
      <c r="K70" s="8" t="n">
        <v>-44752.87771941004</v>
      </c>
      <c r="L70" s="8" t="n">
        <v>0</v>
      </c>
      <c r="M70" s="8" t="n">
        <v>0</v>
      </c>
      <c r="N70" s="8" t="n">
        <v>664975.8947906396</v>
      </c>
      <c r="O70" s="8" t="n">
        <v>620223.0170712295</v>
      </c>
      <c r="P70" s="8" t="n">
        <v>4430703.575581817</v>
      </c>
    </row>
    <row r="71">
      <c r="A71" t="inlineStr">
        <is>
          <t>2031-10</t>
        </is>
      </c>
      <c r="B71" s="8" t="n">
        <v>0</v>
      </c>
      <c r="C71" s="8" t="n">
        <v>0</v>
      </c>
      <c r="D71" s="8" t="n">
        <v>0</v>
      </c>
      <c r="E71" s="8" t="n">
        <v>0</v>
      </c>
      <c r="F71" s="8" t="n">
        <v>0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-44916.44660941127</v>
      </c>
      <c r="L71" s="8" t="n">
        <v>0</v>
      </c>
      <c r="M71" s="8" t="n">
        <v>0</v>
      </c>
      <c r="N71" s="8" t="n">
        <v>667406.3389214156</v>
      </c>
      <c r="O71" s="8" t="n">
        <v>622489.8923120043</v>
      </c>
      <c r="P71" s="8" t="n">
        <v>5053193.467893821</v>
      </c>
    </row>
    <row r="72">
      <c r="A72" t="inlineStr">
        <is>
          <t>2031-11</t>
        </is>
      </c>
      <c r="B72" s="8" t="n">
        <v>0</v>
      </c>
      <c r="C72" s="8" t="n">
        <v>0</v>
      </c>
      <c r="D72" s="8" t="n">
        <v>0</v>
      </c>
      <c r="E72" s="8" t="n">
        <v>0</v>
      </c>
      <c r="F72" s="8" t="n">
        <v>0</v>
      </c>
      <c r="G72" s="8" t="n">
        <v>0</v>
      </c>
      <c r="H72" s="8" t="n">
        <v>0</v>
      </c>
      <c r="I72" s="8" t="n">
        <v>0</v>
      </c>
      <c r="J72" s="8" t="n">
        <v>0</v>
      </c>
      <c r="K72" s="8" t="n">
        <v>-45081.87355553238</v>
      </c>
      <c r="L72" s="8" t="n">
        <v>0</v>
      </c>
      <c r="M72" s="8" t="n">
        <v>0</v>
      </c>
      <c r="N72" s="8" t="n">
        <v>669864.3916126654</v>
      </c>
      <c r="O72" s="8" t="n">
        <v>624782.518057133</v>
      </c>
      <c r="P72" s="8" t="n">
        <v>5677975.985950954</v>
      </c>
    </row>
    <row r="73">
      <c r="A73" t="inlineStr">
        <is>
          <t>2031-12</t>
        </is>
      </c>
      <c r="B73" s="8" t="n">
        <v>0</v>
      </c>
      <c r="C73" s="8" t="n">
        <v>0</v>
      </c>
      <c r="D73" s="8" t="n">
        <v>0</v>
      </c>
      <c r="E73" s="8" t="n">
        <v>0</v>
      </c>
      <c r="F73" s="8" t="n">
        <v>0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-45247.30050165349</v>
      </c>
      <c r="L73" s="8" t="n">
        <v>0</v>
      </c>
      <c r="M73" s="8" t="n">
        <v>0</v>
      </c>
      <c r="N73" s="8" t="n">
        <v>672322.4443039151</v>
      </c>
      <c r="O73" s="8" t="n">
        <v>627075.1438022617</v>
      </c>
      <c r="P73" s="8" t="n">
        <v>6305051.129753216</v>
      </c>
    </row>
    <row r="74">
      <c r="A74" t="inlineStr">
        <is>
          <t>2032-01</t>
        </is>
      </c>
      <c r="B74" s="8" t="n">
        <v>0</v>
      </c>
      <c r="C74" s="8" t="n">
        <v>0</v>
      </c>
      <c r="D74" s="8" t="n">
        <v>0</v>
      </c>
      <c r="E74" s="8" t="n">
        <v>0</v>
      </c>
      <c r="F74" s="8" t="n">
        <v>0</v>
      </c>
      <c r="G74" s="8" t="n">
        <v>0</v>
      </c>
      <c r="H74" s="8" t="n">
        <v>0</v>
      </c>
      <c r="I74" s="8" t="n">
        <v>0</v>
      </c>
      <c r="J74" s="8" t="n">
        <v>0</v>
      </c>
      <c r="K74" s="8" t="n">
        <v>-45412.7274477746</v>
      </c>
      <c r="L74" s="8" t="n">
        <v>0</v>
      </c>
      <c r="M74" s="8" t="n">
        <v>0</v>
      </c>
      <c r="N74" s="8" t="n">
        <v>674780.4969951649</v>
      </c>
      <c r="O74" s="8" t="n">
        <v>629367.7695473903</v>
      </c>
      <c r="P74" s="8" t="n">
        <v>6934418.899300607</v>
      </c>
    </row>
    <row r="75">
      <c r="A75" t="inlineStr">
        <is>
          <t>2032-02</t>
        </is>
      </c>
      <c r="B75" s="8" t="n">
        <v>0</v>
      </c>
      <c r="C75" s="8" t="n">
        <v>0</v>
      </c>
      <c r="D75" s="8" t="n">
        <v>0</v>
      </c>
      <c r="E75" s="8" t="n">
        <v>0</v>
      </c>
      <c r="F75" s="8" t="n">
        <v>0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-45580.5938825429</v>
      </c>
      <c r="L75" s="8" t="n">
        <v>0</v>
      </c>
      <c r="M75" s="8" t="n">
        <v>0</v>
      </c>
      <c r="N75" s="8" t="n">
        <v>677274.7976603699</v>
      </c>
      <c r="O75" s="8" t="n">
        <v>631694.2037778271</v>
      </c>
      <c r="P75" s="8" t="n">
        <v>7566113.103078434</v>
      </c>
    </row>
    <row r="76">
      <c r="A76" t="inlineStr">
        <is>
          <t>2032-03</t>
        </is>
      </c>
      <c r="B76" s="8" t="n">
        <v>0</v>
      </c>
      <c r="C76" s="8" t="n">
        <v>0</v>
      </c>
      <c r="D76" s="8" t="n">
        <v>0</v>
      </c>
      <c r="E76" s="8" t="n">
        <v>0</v>
      </c>
      <c r="F76" s="8" t="n">
        <v>0</v>
      </c>
      <c r="G76" s="8" t="n">
        <v>0</v>
      </c>
      <c r="H76" s="8" t="n">
        <v>0</v>
      </c>
      <c r="I76" s="8" t="n">
        <v>0</v>
      </c>
      <c r="J76" s="8" t="n">
        <v>0</v>
      </c>
      <c r="K76" s="8" t="n">
        <v>-45748.4603173112</v>
      </c>
      <c r="L76" s="8" t="n">
        <v>0</v>
      </c>
      <c r="M76" s="8" t="n">
        <v>0</v>
      </c>
      <c r="N76" s="8" t="n">
        <v>679769.098325575</v>
      </c>
      <c r="O76" s="8" t="n">
        <v>634020.6380082639</v>
      </c>
      <c r="P76" s="8" t="n">
        <v>8200133.741086698</v>
      </c>
    </row>
    <row r="77">
      <c r="A77" t="inlineStr">
        <is>
          <t>2032-04</t>
        </is>
      </c>
      <c r="B77" s="8" t="n">
        <v>0</v>
      </c>
      <c r="C77" s="8" t="n">
        <v>0</v>
      </c>
      <c r="D77" s="8" t="n">
        <v>0</v>
      </c>
      <c r="E77" s="8" t="n">
        <v>0</v>
      </c>
      <c r="F77" s="8" t="n">
        <v>0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-45684.21913832062</v>
      </c>
      <c r="L77" s="8" t="n">
        <v>0</v>
      </c>
      <c r="M77" s="8" t="n">
        <v>0</v>
      </c>
      <c r="N77" s="8" t="n">
        <v>678814.5488606333</v>
      </c>
      <c r="O77" s="8" t="n">
        <v>633130.3297223126</v>
      </c>
      <c r="P77" s="8" t="n">
        <v>8833264.07080901</v>
      </c>
    </row>
    <row r="78">
      <c r="A78" t="inlineStr">
        <is>
          <t>2032-05</t>
        </is>
      </c>
      <c r="B78" s="8" t="n">
        <v>0</v>
      </c>
      <c r="C78" s="8" t="n">
        <v>0</v>
      </c>
      <c r="D78" s="8" t="n">
        <v>0</v>
      </c>
      <c r="E78" s="8" t="n">
        <v>0</v>
      </c>
      <c r="F78" s="8" t="n">
        <v>0</v>
      </c>
      <c r="G78" s="8" t="n">
        <v>0</v>
      </c>
      <c r="H78" s="8" t="n">
        <v>0</v>
      </c>
      <c r="I78" s="8" t="n">
        <v>0</v>
      </c>
      <c r="J78" s="8" t="n">
        <v>0</v>
      </c>
      <c r="K78" s="8" t="n">
        <v>-45619.97795933003</v>
      </c>
      <c r="L78" s="8" t="n">
        <v>0</v>
      </c>
      <c r="M78" s="8" t="n">
        <v>0</v>
      </c>
      <c r="N78" s="8" t="n">
        <v>677859.9993956916</v>
      </c>
      <c r="O78" s="8" t="n">
        <v>632240.0214363615</v>
      </c>
      <c r="P78" s="8" t="n">
        <v>9465504.092245372</v>
      </c>
    </row>
    <row r="79">
      <c r="A79" t="inlineStr">
        <is>
          <t>2032-06</t>
        </is>
      </c>
      <c r="B79" s="8" t="n">
        <v>0</v>
      </c>
      <c r="C79" s="8" t="n">
        <v>0</v>
      </c>
      <c r="D79" s="8" t="n">
        <v>0</v>
      </c>
      <c r="E79" s="8" t="n">
        <v>0</v>
      </c>
      <c r="F79" s="8" t="n">
        <v>0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-45555.73678033945</v>
      </c>
      <c r="L79" s="8" t="n">
        <v>0</v>
      </c>
      <c r="M79" s="8" t="n">
        <v>0</v>
      </c>
      <c r="N79" s="8" t="n">
        <v>676905.4499307496</v>
      </c>
      <c r="O79" s="8" t="n">
        <v>631349.7131504102</v>
      </c>
      <c r="P79" s="8" t="n">
        <v>10096853.80539578</v>
      </c>
    </row>
    <row r="80">
      <c r="A80" t="inlineStr">
        <is>
          <t>2032-07</t>
        </is>
      </c>
      <c r="B80" s="8" t="n">
        <v>0</v>
      </c>
      <c r="C80" s="8" t="n">
        <v>0</v>
      </c>
      <c r="D80" s="8" t="n">
        <v>0</v>
      </c>
      <c r="E80" s="8" t="n">
        <v>0</v>
      </c>
      <c r="F80" s="8" t="n">
        <v>0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-45491.49560134887</v>
      </c>
      <c r="L80" s="8" t="n">
        <v>0</v>
      </c>
      <c r="M80" s="8" t="n">
        <v>0</v>
      </c>
      <c r="N80" s="8" t="n">
        <v>675950.900465808</v>
      </c>
      <c r="O80" s="8" t="n">
        <v>630459.4048644591</v>
      </c>
      <c r="P80" s="8" t="n">
        <v>10727313.21026024</v>
      </c>
    </row>
    <row r="81">
      <c r="A81" t="inlineStr">
        <is>
          <t>2032-08</t>
        </is>
      </c>
      <c r="B81" s="8" t="n">
        <v>0</v>
      </c>
      <c r="C81" s="8" t="n">
        <v>0</v>
      </c>
      <c r="D81" s="8" t="n">
        <v>0</v>
      </c>
      <c r="E81" s="8" t="n">
        <v>0</v>
      </c>
      <c r="F81" s="8" t="n">
        <v>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-45087.41298347082</v>
      </c>
      <c r="L81" s="8" t="n">
        <v>0</v>
      </c>
      <c r="M81" s="8" t="n">
        <v>0</v>
      </c>
      <c r="N81" s="8" t="n">
        <v>669946.7010916913</v>
      </c>
      <c r="O81" s="8" t="n">
        <v>624859.2881082203</v>
      </c>
      <c r="P81" s="8" t="n">
        <v>11352172.49836846</v>
      </c>
    </row>
    <row r="82">
      <c r="A82" t="inlineStr">
        <is>
          <t>2032-09</t>
        </is>
      </c>
      <c r="B82" s="8" t="n">
        <v>0</v>
      </c>
      <c r="C82" s="8" t="n">
        <v>0</v>
      </c>
      <c r="D82" s="8" t="n">
        <v>0</v>
      </c>
      <c r="E82" s="8" t="n">
        <v>0</v>
      </c>
      <c r="F82" s="8" t="n">
        <v>0</v>
      </c>
      <c r="G82" s="8" t="n">
        <v>0</v>
      </c>
      <c r="H82" s="8" t="n">
        <v>0</v>
      </c>
      <c r="I82" s="8" t="n">
        <v>0</v>
      </c>
      <c r="J82" s="8" t="n">
        <v>0</v>
      </c>
      <c r="K82" s="8" t="n">
        <v>-44683.33036559276</v>
      </c>
      <c r="L82" s="8" t="n">
        <v>0</v>
      </c>
      <c r="M82" s="8" t="n">
        <v>0</v>
      </c>
      <c r="N82" s="8" t="n">
        <v>663942.5017175744</v>
      </c>
      <c r="O82" s="8" t="n">
        <v>619259.1713519816</v>
      </c>
      <c r="P82" s="8" t="n">
        <v>11971431.66972044</v>
      </c>
    </row>
    <row r="83">
      <c r="A83" t="inlineStr">
        <is>
          <t>2032-10</t>
        </is>
      </c>
      <c r="B83" s="8" t="n">
        <v>0</v>
      </c>
      <c r="C83" s="8" t="n">
        <v>0</v>
      </c>
      <c r="D83" s="8" t="n">
        <v>0</v>
      </c>
      <c r="E83" s="8" t="n">
        <v>0</v>
      </c>
      <c r="F83" s="8" t="n">
        <v>0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-44279.24774771469</v>
      </c>
      <c r="L83" s="8" t="n">
        <v>0</v>
      </c>
      <c r="M83" s="8" t="n">
        <v>0</v>
      </c>
      <c r="N83" s="8" t="n">
        <v>657938.3023434576</v>
      </c>
      <c r="O83" s="8" t="n">
        <v>613659.0545957428</v>
      </c>
      <c r="P83" s="8" t="n">
        <v>12585090.72431619</v>
      </c>
    </row>
    <row r="84">
      <c r="A84" t="inlineStr">
        <is>
          <t>2032-11</t>
        </is>
      </c>
      <c r="B84" s="8" t="n">
        <v>0</v>
      </c>
      <c r="C84" s="8" t="n">
        <v>0</v>
      </c>
      <c r="D84" s="8" t="n">
        <v>0</v>
      </c>
      <c r="E84" s="8" t="n">
        <v>0</v>
      </c>
      <c r="F84" s="8" t="n">
        <v>0</v>
      </c>
      <c r="G84" s="8" t="n">
        <v>0</v>
      </c>
      <c r="H84" s="8" t="n">
        <v>0</v>
      </c>
      <c r="I84" s="8" t="n">
        <v>0</v>
      </c>
      <c r="J84" s="8" t="n">
        <v>0</v>
      </c>
      <c r="K84" s="8" t="n">
        <v>-43512.60701722673</v>
      </c>
      <c r="L84" s="8" t="n">
        <v>0</v>
      </c>
      <c r="M84" s="8" t="n">
        <v>0</v>
      </c>
      <c r="N84" s="8" t="n">
        <v>646546.9096170391</v>
      </c>
      <c r="O84" s="8" t="n">
        <v>603034.3025998124</v>
      </c>
      <c r="P84" s="8" t="n">
        <v>13188125.026916</v>
      </c>
    </row>
    <row r="85">
      <c r="A85" t="inlineStr">
        <is>
          <t>2032-12</t>
        </is>
      </c>
      <c r="B85" s="8" t="n">
        <v>0</v>
      </c>
      <c r="C85" s="8" t="n">
        <v>0</v>
      </c>
      <c r="D85" s="8" t="n">
        <v>0</v>
      </c>
      <c r="E85" s="8" t="n">
        <v>0</v>
      </c>
      <c r="F85" s="8" t="n">
        <v>0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-42745.96628673877</v>
      </c>
      <c r="L85" s="8" t="n">
        <v>0</v>
      </c>
      <c r="M85" s="8" t="n">
        <v>0</v>
      </c>
      <c r="N85" s="8" t="n">
        <v>635155.5168906206</v>
      </c>
      <c r="O85" s="8" t="n">
        <v>592409.5506038817</v>
      </c>
      <c r="P85" s="8" t="n">
        <v>13780534.57751988</v>
      </c>
    </row>
    <row r="86">
      <c r="A86" t="inlineStr">
        <is>
          <t>2033-01</t>
        </is>
      </c>
      <c r="B86" s="8" t="n">
        <v>0</v>
      </c>
      <c r="C86" s="8" t="n">
        <v>0</v>
      </c>
      <c r="D86" s="8" t="n">
        <v>0</v>
      </c>
      <c r="E86" s="8" t="n">
        <v>0</v>
      </c>
      <c r="F86" s="8" t="n">
        <v>0</v>
      </c>
      <c r="G86" s="8" t="n">
        <v>0</v>
      </c>
      <c r="H86" s="8" t="n">
        <v>0</v>
      </c>
      <c r="I86" s="8" t="n">
        <v>0</v>
      </c>
      <c r="J86" s="8" t="n">
        <v>0</v>
      </c>
      <c r="K86" s="8" t="n">
        <v>-41979.3255562508</v>
      </c>
      <c r="L86" s="8" t="n">
        <v>0</v>
      </c>
      <c r="M86" s="8" t="n">
        <v>0</v>
      </c>
      <c r="N86" s="8" t="n">
        <v>623764.124164202</v>
      </c>
      <c r="O86" s="8" t="n">
        <v>581784.7986079513</v>
      </c>
      <c r="P86" s="8" t="n">
        <v>14362319.37612783</v>
      </c>
    </row>
    <row r="87">
      <c r="A87" t="inlineStr">
        <is>
          <t>2033-02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0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-40736.67315410493</v>
      </c>
      <c r="L87" s="8" t="n">
        <v>0</v>
      </c>
      <c r="M87" s="8" t="n">
        <v>0</v>
      </c>
      <c r="N87" s="8" t="n">
        <v>605299.7496895235</v>
      </c>
      <c r="O87" s="8" t="n">
        <v>564563.0765354186</v>
      </c>
      <c r="P87" s="8" t="n">
        <v>14926882.45266325</v>
      </c>
    </row>
    <row r="88">
      <c r="A88" t="inlineStr">
        <is>
          <t>2033-03</t>
        </is>
      </c>
      <c r="B88" s="8" t="n">
        <v>0</v>
      </c>
      <c r="C88" s="8" t="n">
        <v>0</v>
      </c>
      <c r="D88" s="8" t="n">
        <v>0</v>
      </c>
      <c r="E88" s="8" t="n">
        <v>0</v>
      </c>
      <c r="F88" s="8" t="n">
        <v>0</v>
      </c>
      <c r="G88" s="8" t="n">
        <v>0</v>
      </c>
      <c r="H88" s="8" t="n">
        <v>0</v>
      </c>
      <c r="I88" s="8" t="n">
        <v>0</v>
      </c>
      <c r="J88" s="8" t="n">
        <v>0</v>
      </c>
      <c r="K88" s="8" t="n">
        <v>-39494.02075195905</v>
      </c>
      <c r="L88" s="8" t="n">
        <v>0</v>
      </c>
      <c r="M88" s="8" t="n">
        <v>0</v>
      </c>
      <c r="N88" s="8" t="n">
        <v>586835.3752148449</v>
      </c>
      <c r="O88" s="8" t="n">
        <v>547341.3544628859</v>
      </c>
      <c r="P88" s="8" t="n">
        <v>15474223.80712613</v>
      </c>
    </row>
    <row r="89">
      <c r="A89" t="inlineStr">
        <is>
          <t>2033-04</t>
        </is>
      </c>
      <c r="B89" s="8" t="n">
        <v>0</v>
      </c>
      <c r="C89" s="8" t="n">
        <v>0</v>
      </c>
      <c r="D89" s="8" t="n">
        <v>0</v>
      </c>
      <c r="E89" s="8" t="n">
        <v>0</v>
      </c>
      <c r="F89" s="8" t="n">
        <v>0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-38242.16655226817</v>
      </c>
      <c r="L89" s="8" t="n">
        <v>0</v>
      </c>
      <c r="M89" s="8" t="n">
        <v>0</v>
      </c>
      <c r="N89" s="8" t="n">
        <v>568234.2726934348</v>
      </c>
      <c r="O89" s="8" t="n">
        <v>529992.1061411668</v>
      </c>
      <c r="P89" s="8" t="n">
        <v>16004215.9132673</v>
      </c>
    </row>
    <row r="90">
      <c r="A90" t="inlineStr">
        <is>
          <t>2033-05</t>
        </is>
      </c>
      <c r="B90" s="8" t="n">
        <v>0</v>
      </c>
      <c r="C90" s="8" t="n">
        <v>0</v>
      </c>
      <c r="D90" s="8" t="n">
        <v>0</v>
      </c>
      <c r="E90" s="8" t="n">
        <v>0</v>
      </c>
      <c r="F90" s="8" t="n">
        <v>0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-36990.31235257728</v>
      </c>
      <c r="L90" s="8" t="n">
        <v>0</v>
      </c>
      <c r="M90" s="8" t="n">
        <v>0</v>
      </c>
      <c r="N90" s="8" t="n">
        <v>549633.170172025</v>
      </c>
      <c r="O90" s="8" t="n">
        <v>512642.8578194476</v>
      </c>
      <c r="P90" s="8" t="n">
        <v>16516858.77108675</v>
      </c>
    </row>
    <row r="91">
      <c r="A91" t="inlineStr">
        <is>
          <t>2033-06</t>
        </is>
      </c>
      <c r="B91" s="8" t="n">
        <v>0</v>
      </c>
      <c r="C91" s="8" t="n">
        <v>0</v>
      </c>
      <c r="D91" s="8" t="n">
        <v>0</v>
      </c>
      <c r="E91" s="8" t="n">
        <v>0</v>
      </c>
      <c r="F91" s="8" t="n">
        <v>0</v>
      </c>
      <c r="G91" s="8" t="n">
        <v>0</v>
      </c>
      <c r="H91" s="8" t="n">
        <v>0</v>
      </c>
      <c r="I91" s="8" t="n">
        <v>0</v>
      </c>
      <c r="J91" s="8" t="n">
        <v>0</v>
      </c>
      <c r="K91" s="8" t="n">
        <v>-35738.45815288639</v>
      </c>
      <c r="L91" s="8" t="n">
        <v>0</v>
      </c>
      <c r="M91" s="8" t="n">
        <v>0</v>
      </c>
      <c r="N91" s="8" t="n">
        <v>531032.067650615</v>
      </c>
      <c r="O91" s="8" t="n">
        <v>495293.6094977285</v>
      </c>
      <c r="P91" s="8" t="n">
        <v>17012152.38058448</v>
      </c>
    </row>
    <row r="92">
      <c r="A92" t="inlineStr">
        <is>
          <t>2033-07</t>
        </is>
      </c>
      <c r="B92" s="8" t="n">
        <v>0</v>
      </c>
      <c r="C92" s="8" t="n">
        <v>0</v>
      </c>
      <c r="D92" s="8" t="n">
        <v>0</v>
      </c>
      <c r="E92" s="8" t="n">
        <v>0</v>
      </c>
      <c r="F92" s="8" t="n">
        <v>0</v>
      </c>
      <c r="G92" s="8" t="n">
        <v>0</v>
      </c>
      <c r="H92" s="8" t="n">
        <v>0</v>
      </c>
      <c r="I92" s="8" t="n">
        <v>0</v>
      </c>
      <c r="J92" s="8" t="n">
        <v>0</v>
      </c>
      <c r="K92" s="8" t="n">
        <v>-34486.6039531955</v>
      </c>
      <c r="L92" s="8" t="n">
        <v>0</v>
      </c>
      <c r="M92" s="8" t="n">
        <v>0</v>
      </c>
      <c r="N92" s="8" t="n">
        <v>512430.965129205</v>
      </c>
      <c r="O92" s="8" t="n">
        <v>477944.3611760095</v>
      </c>
      <c r="P92" s="8" t="n">
        <v>17490096.74176049</v>
      </c>
    </row>
    <row r="93">
      <c r="A93" t="inlineStr">
        <is>
          <t>2033-08</t>
        </is>
      </c>
      <c r="B93" s="8" t="n">
        <v>0</v>
      </c>
      <c r="C93" s="8" t="n">
        <v>0</v>
      </c>
      <c r="D93" s="8" t="n">
        <v>0</v>
      </c>
      <c r="E93" s="8" t="n">
        <v>0</v>
      </c>
      <c r="F93" s="8" t="n">
        <v>0</v>
      </c>
      <c r="G93" s="8" t="n">
        <v>0</v>
      </c>
      <c r="H93" s="8" t="n">
        <v>0</v>
      </c>
      <c r="I93" s="8" t="n">
        <v>0</v>
      </c>
      <c r="J93" s="8" t="n">
        <v>0</v>
      </c>
      <c r="K93" s="8" t="n">
        <v>-33221.27689896352</v>
      </c>
      <c r="L93" s="8" t="n">
        <v>0</v>
      </c>
      <c r="M93" s="8" t="n">
        <v>0</v>
      </c>
      <c r="N93" s="8" t="n">
        <v>493629.6716042128</v>
      </c>
      <c r="O93" s="8" t="n">
        <v>460408.3947052492</v>
      </c>
      <c r="P93" s="8" t="n">
        <v>17950505.13646574</v>
      </c>
    </row>
    <row r="94">
      <c r="A94" t="inlineStr">
        <is>
          <t>2033-09</t>
        </is>
      </c>
      <c r="B94" s="8" t="n">
        <v>0</v>
      </c>
      <c r="C94" s="8" t="n">
        <v>0</v>
      </c>
      <c r="D94" s="8" t="n">
        <v>0</v>
      </c>
      <c r="E94" s="8" t="n">
        <v>0</v>
      </c>
      <c r="F94" s="8" t="n">
        <v>0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-31955.94984473155</v>
      </c>
      <c r="L94" s="8" t="n">
        <v>0</v>
      </c>
      <c r="M94" s="8" t="n">
        <v>0</v>
      </c>
      <c r="N94" s="8" t="n">
        <v>474828.3780792207</v>
      </c>
      <c r="O94" s="8" t="n">
        <v>442872.4282344891</v>
      </c>
      <c r="P94" s="8" t="n">
        <v>18393377.56470023</v>
      </c>
    </row>
    <row r="95">
      <c r="A95" t="inlineStr">
        <is>
          <t>2033-10</t>
        </is>
      </c>
      <c r="B95" s="8" t="n">
        <v>0</v>
      </c>
      <c r="C95" s="8" t="n">
        <v>0</v>
      </c>
      <c r="D95" s="8" t="n">
        <v>0</v>
      </c>
      <c r="E95" s="8" t="n">
        <v>0</v>
      </c>
      <c r="F95" s="8" t="n">
        <v>0</v>
      </c>
      <c r="G95" s="8" t="n">
        <v>0</v>
      </c>
      <c r="H95" s="8" t="n">
        <v>0</v>
      </c>
      <c r="I95" s="8" t="n">
        <v>0</v>
      </c>
      <c r="J95" s="8" t="n">
        <v>0</v>
      </c>
      <c r="K95" s="8" t="n">
        <v>-30690.62279049957</v>
      </c>
      <c r="L95" s="8" t="n">
        <v>0</v>
      </c>
      <c r="M95" s="8" t="n">
        <v>0</v>
      </c>
      <c r="N95" s="8" t="n">
        <v>456027.0845542285</v>
      </c>
      <c r="O95" s="8" t="n">
        <v>425336.4617637289</v>
      </c>
      <c r="P95" s="8" t="n">
        <v>18818714.02646396</v>
      </c>
    </row>
    <row r="96">
      <c r="A96" t="inlineStr">
        <is>
          <t>2033-11</t>
        </is>
      </c>
      <c r="B96" s="8" t="n">
        <v>0</v>
      </c>
      <c r="C96" s="8" t="n">
        <v>0</v>
      </c>
      <c r="D96" s="8" t="n">
        <v>0</v>
      </c>
      <c r="E96" s="8" t="n">
        <v>0</v>
      </c>
      <c r="F96" s="8" t="n">
        <v>0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-29410.92228984543</v>
      </c>
      <c r="L96" s="8" t="n">
        <v>0</v>
      </c>
      <c r="M96" s="8" t="n">
        <v>0</v>
      </c>
      <c r="N96" s="8" t="n">
        <v>437012.2182740777</v>
      </c>
      <c r="O96" s="8" t="n">
        <v>407601.2959842323</v>
      </c>
      <c r="P96" s="8" t="n">
        <v>19226315.32244819</v>
      </c>
    </row>
    <row r="97">
      <c r="A97" t="inlineStr">
        <is>
          <t>2033-12</t>
        </is>
      </c>
      <c r="B97" s="8" t="n">
        <v>0</v>
      </c>
      <c r="C97" s="8" t="n">
        <v>0</v>
      </c>
      <c r="D97" s="8" t="n">
        <v>0</v>
      </c>
      <c r="E97" s="8" t="n">
        <v>0</v>
      </c>
      <c r="F97" s="8" t="n">
        <v>0</v>
      </c>
      <c r="G97" s="8" t="n">
        <v>0</v>
      </c>
      <c r="H97" s="8" t="n">
        <v>0</v>
      </c>
      <c r="I97" s="8" t="n">
        <v>0</v>
      </c>
      <c r="J97" s="8" t="n">
        <v>0</v>
      </c>
      <c r="K97" s="8" t="n">
        <v>-28131.22178919129</v>
      </c>
      <c r="L97" s="8" t="n">
        <v>0</v>
      </c>
      <c r="M97" s="8" t="n">
        <v>0</v>
      </c>
      <c r="N97" s="8" t="n">
        <v>417997.351993927</v>
      </c>
      <c r="O97" s="8" t="n">
        <v>389866.1302047357</v>
      </c>
      <c r="P97" s="8" t="n">
        <v>19616181.45265292</v>
      </c>
    </row>
    <row r="98">
      <c r="A98" t="inlineStr">
        <is>
          <t>2034-01</t>
        </is>
      </c>
      <c r="B98" s="8" t="n">
        <v>0</v>
      </c>
      <c r="C98" s="8" t="n">
        <v>0</v>
      </c>
      <c r="D98" s="8" t="n">
        <v>0</v>
      </c>
      <c r="E98" s="8" t="n">
        <v>0</v>
      </c>
      <c r="F98" s="8" t="n">
        <v>0</v>
      </c>
      <c r="G98" s="8" t="n">
        <v>0</v>
      </c>
      <c r="H98" s="8" t="n">
        <v>0</v>
      </c>
      <c r="I98" s="8" t="n">
        <v>0</v>
      </c>
      <c r="J98" s="8" t="n">
        <v>0</v>
      </c>
      <c r="K98" s="8" t="n">
        <v>-26851.52128853714</v>
      </c>
      <c r="L98" s="8" t="n">
        <v>0</v>
      </c>
      <c r="M98" s="8" t="n">
        <v>0</v>
      </c>
      <c r="N98" s="8" t="n">
        <v>398982.4857137763</v>
      </c>
      <c r="O98" s="8" t="n">
        <v>372130.9644252391</v>
      </c>
      <c r="P98" s="8" t="n">
        <v>19988312.41707816</v>
      </c>
    </row>
    <row r="99">
      <c r="A99" t="inlineStr">
        <is>
          <t>2034-02</t>
        </is>
      </c>
      <c r="B99" s="8" t="n">
        <v>0</v>
      </c>
      <c r="C99" s="8" t="n">
        <v>0</v>
      </c>
      <c r="D99" s="8" t="n">
        <v>0</v>
      </c>
      <c r="E99" s="8" t="n">
        <v>0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0</v>
      </c>
      <c r="K99" s="8" t="n">
        <v>-25552.94952829471</v>
      </c>
      <c r="L99" s="8" t="n">
        <v>0</v>
      </c>
      <c r="M99" s="8" t="n">
        <v>0</v>
      </c>
      <c r="N99" s="8" t="n">
        <v>379687.2143877371</v>
      </c>
      <c r="O99" s="8" t="n">
        <v>354134.2648594424</v>
      </c>
      <c r="P99" s="8" t="n">
        <v>20342446.68193761</v>
      </c>
    </row>
    <row r="100">
      <c r="A100" t="inlineStr">
        <is>
          <t>2034-03</t>
        </is>
      </c>
      <c r="B100" s="8" t="n">
        <v>0</v>
      </c>
      <c r="C100" s="8" t="n">
        <v>0</v>
      </c>
      <c r="D100" s="8" t="n">
        <v>0</v>
      </c>
      <c r="E100" s="8" t="n">
        <v>0</v>
      </c>
      <c r="F100" s="8" t="n">
        <v>0</v>
      </c>
      <c r="G100" s="8" t="n">
        <v>0</v>
      </c>
      <c r="H100" s="8" t="n">
        <v>0</v>
      </c>
      <c r="I100" s="8" t="n">
        <v>0</v>
      </c>
      <c r="J100" s="8" t="n">
        <v>0</v>
      </c>
      <c r="K100" s="8" t="n">
        <v>-24254.37776805227</v>
      </c>
      <c r="L100" s="8" t="n">
        <v>0</v>
      </c>
      <c r="M100" s="8" t="n">
        <v>0</v>
      </c>
      <c r="N100" s="8" t="n">
        <v>360391.9430616979</v>
      </c>
      <c r="O100" s="8" t="n">
        <v>336137.5652936457</v>
      </c>
      <c r="P100" s="8" t="n">
        <v>20678584.24723125</v>
      </c>
    </row>
    <row r="101">
      <c r="A101" t="inlineStr">
        <is>
          <t>2034-04</t>
        </is>
      </c>
      <c r="B101" s="8" t="n">
        <v>0</v>
      </c>
      <c r="C101" s="8" t="n">
        <v>0</v>
      </c>
      <c r="D101" s="8" t="n">
        <v>0</v>
      </c>
      <c r="E101" s="8" t="n">
        <v>0</v>
      </c>
      <c r="F101" s="8" t="n">
        <v>0</v>
      </c>
      <c r="G101" s="8" t="n">
        <v>0</v>
      </c>
      <c r="H101" s="8" t="n">
        <v>0</v>
      </c>
      <c r="I101" s="8" t="n">
        <v>0</v>
      </c>
      <c r="J101" s="8" t="n">
        <v>0</v>
      </c>
      <c r="K101" s="8" t="n">
        <v>-22946.19012937529</v>
      </c>
      <c r="L101" s="8" t="n">
        <v>0</v>
      </c>
      <c r="M101" s="8" t="n">
        <v>0</v>
      </c>
      <c r="N101" s="8" t="n">
        <v>340953.7909268245</v>
      </c>
      <c r="O101" s="8" t="n">
        <v>318007.6007974492</v>
      </c>
      <c r="P101" s="8" t="n">
        <v>20996591.8480287</v>
      </c>
    </row>
    <row r="102">
      <c r="A102" t="inlineStr">
        <is>
          <t>2034-05</t>
        </is>
      </c>
      <c r="B102" s="8" t="n">
        <v>0</v>
      </c>
      <c r="C102" s="8" t="n">
        <v>0</v>
      </c>
      <c r="D102" s="8" t="n">
        <v>0</v>
      </c>
      <c r="E102" s="8" t="n">
        <v>0</v>
      </c>
      <c r="F102" s="8" t="n">
        <v>0</v>
      </c>
      <c r="G102" s="8" t="n">
        <v>0</v>
      </c>
      <c r="H102" s="8" t="n">
        <v>0</v>
      </c>
      <c r="I102" s="8" t="n">
        <v>0</v>
      </c>
      <c r="J102" s="8" t="n">
        <v>0</v>
      </c>
      <c r="K102" s="8" t="n">
        <v>-21638.00249069831</v>
      </c>
      <c r="L102" s="8" t="n">
        <v>0</v>
      </c>
      <c r="M102" s="8" t="n">
        <v>0</v>
      </c>
      <c r="N102" s="8" t="n">
        <v>321515.6387919511</v>
      </c>
      <c r="O102" s="8" t="n">
        <v>299877.6363012528</v>
      </c>
      <c r="P102" s="8" t="n">
        <v>21296469.48432995</v>
      </c>
    </row>
    <row r="103">
      <c r="A103" t="inlineStr">
        <is>
          <t>2034-06</t>
        </is>
      </c>
      <c r="B103" s="8" t="n">
        <v>0</v>
      </c>
      <c r="C103" s="8" t="n">
        <v>0</v>
      </c>
      <c r="D103" s="8" t="n">
        <v>0</v>
      </c>
      <c r="E103" s="8" t="n">
        <v>0</v>
      </c>
      <c r="F103" s="8" t="n">
        <v>0</v>
      </c>
      <c r="G103" s="8" t="n">
        <v>0</v>
      </c>
      <c r="H103" s="8" t="n">
        <v>0</v>
      </c>
      <c r="I103" s="8" t="n">
        <v>0</v>
      </c>
      <c r="J103" s="8" t="n">
        <v>0</v>
      </c>
      <c r="K103" s="8" t="n">
        <v>-20329.81485202132</v>
      </c>
      <c r="L103" s="8" t="n">
        <v>0</v>
      </c>
      <c r="M103" s="8" t="n">
        <v>0</v>
      </c>
      <c r="N103" s="8" t="n">
        <v>302077.4866570776</v>
      </c>
      <c r="O103" s="8" t="n">
        <v>281747.6718050563</v>
      </c>
      <c r="P103" s="8" t="n">
        <v>21578217.15613501</v>
      </c>
    </row>
    <row r="104">
      <c r="A104" t="inlineStr">
        <is>
          <t>2034-07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-19021.62721334434</v>
      </c>
      <c r="L104" s="8" t="n">
        <v>0</v>
      </c>
      <c r="M104" s="8" t="n">
        <v>0</v>
      </c>
      <c r="N104" s="8" t="n">
        <v>282639.3345222042</v>
      </c>
      <c r="O104" s="8" t="n">
        <v>263617.7073088599</v>
      </c>
      <c r="P104" s="8" t="n">
        <v>21841834.86344387</v>
      </c>
    </row>
    <row r="105">
      <c r="A105" t="inlineStr">
        <is>
          <t>2034-08</t>
        </is>
      </c>
      <c r="B105" s="8" t="n">
        <v>0</v>
      </c>
      <c r="C105" s="8" t="n">
        <v>0</v>
      </c>
      <c r="D105" s="8" t="n">
        <v>0</v>
      </c>
      <c r="E105" s="8" t="n">
        <v>0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0</v>
      </c>
      <c r="K105" s="8" t="n">
        <v>-17699.36044167193</v>
      </c>
      <c r="L105" s="8" t="n">
        <v>0</v>
      </c>
      <c r="M105" s="8" t="n">
        <v>0</v>
      </c>
      <c r="N105" s="8" t="n">
        <v>262991.9827885873</v>
      </c>
      <c r="O105" s="8" t="n">
        <v>245292.6223469154</v>
      </c>
      <c r="P105" s="8" t="n">
        <v>22087127.48579079</v>
      </c>
    </row>
    <row r="106">
      <c r="A106" t="inlineStr">
        <is>
          <t>2034-09</t>
        </is>
      </c>
      <c r="B106" s="8" t="n">
        <v>0</v>
      </c>
      <c r="C106" s="8" t="n">
        <v>0</v>
      </c>
      <c r="D106" s="8" t="n">
        <v>0</v>
      </c>
      <c r="E106" s="8" t="n">
        <v>0</v>
      </c>
      <c r="F106" s="8" t="n">
        <v>0</v>
      </c>
      <c r="G106" s="8" t="n">
        <v>0</v>
      </c>
      <c r="H106" s="8" t="n">
        <v>0</v>
      </c>
      <c r="I106" s="8" t="n">
        <v>0</v>
      </c>
      <c r="J106" s="8" t="n">
        <v>0</v>
      </c>
      <c r="K106" s="8" t="n">
        <v>-16377.09366999951</v>
      </c>
      <c r="L106" s="8" t="n">
        <v>0</v>
      </c>
      <c r="M106" s="8" t="n">
        <v>0</v>
      </c>
      <c r="N106" s="8" t="n">
        <v>243344.6310549705</v>
      </c>
      <c r="O106" s="8" t="n">
        <v>226967.537384971</v>
      </c>
      <c r="P106" s="8" t="n">
        <v>22314095.02317576</v>
      </c>
    </row>
    <row r="107">
      <c r="A107" t="inlineStr">
        <is>
          <t>2034-10</t>
        </is>
      </c>
      <c r="B107" s="8" t="n">
        <v>0</v>
      </c>
      <c r="C107" s="8" t="n">
        <v>0</v>
      </c>
      <c r="D107" s="8" t="n">
        <v>0</v>
      </c>
      <c r="E107" s="8" t="n">
        <v>0</v>
      </c>
      <c r="F107" s="8" t="n">
        <v>0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-15054.8268983271</v>
      </c>
      <c r="L107" s="8" t="n">
        <v>0</v>
      </c>
      <c r="M107" s="8" t="n">
        <v>0</v>
      </c>
      <c r="N107" s="8" t="n">
        <v>223697.2793213537</v>
      </c>
      <c r="O107" s="8" t="n">
        <v>208642.4524230266</v>
      </c>
      <c r="P107" s="8" t="n">
        <v>22522737.47559878</v>
      </c>
    </row>
    <row r="108">
      <c r="A108" t="inlineStr">
        <is>
          <t>2034-11</t>
        </is>
      </c>
      <c r="B108" s="8" t="n">
        <v>0</v>
      </c>
      <c r="C108" s="8" t="n">
        <v>0</v>
      </c>
      <c r="D108" s="8" t="n">
        <v>0</v>
      </c>
      <c r="E108" s="8" t="n">
        <v>0</v>
      </c>
      <c r="F108" s="8" t="n">
        <v>0</v>
      </c>
      <c r="G108" s="8" t="n">
        <v>0</v>
      </c>
      <c r="H108" s="8" t="n">
        <v>0</v>
      </c>
      <c r="I108" s="8" t="n">
        <v>0</v>
      </c>
      <c r="J108" s="8" t="n">
        <v>0</v>
      </c>
      <c r="K108" s="8" t="n">
        <v>-13717.53987514352</v>
      </c>
      <c r="L108" s="8" t="n">
        <v>0</v>
      </c>
      <c r="M108" s="8" t="n">
        <v>0</v>
      </c>
      <c r="N108" s="8" t="n">
        <v>203826.7440585961</v>
      </c>
      <c r="O108" s="8" t="n">
        <v>190109.2041834526</v>
      </c>
      <c r="P108" s="8" t="n">
        <v>22712846.67978223</v>
      </c>
    </row>
    <row r="109">
      <c r="A109" t="inlineStr">
        <is>
          <t>2034-12</t>
        </is>
      </c>
      <c r="B109" s="8" t="n">
        <v>0</v>
      </c>
      <c r="C109" s="8" t="n">
        <v>0</v>
      </c>
      <c r="D109" s="8" t="n">
        <v>0</v>
      </c>
      <c r="E109" s="8" t="n">
        <v>0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0</v>
      </c>
      <c r="K109" s="8" t="n">
        <v>-12380.25285195994</v>
      </c>
      <c r="L109" s="8" t="n">
        <v>0</v>
      </c>
      <c r="M109" s="8" t="n">
        <v>0</v>
      </c>
      <c r="N109" s="8" t="n">
        <v>183956.2087958386</v>
      </c>
      <c r="O109" s="8" t="n">
        <v>171575.9559438787</v>
      </c>
      <c r="P109" s="8" t="n">
        <v>22884422.63572611</v>
      </c>
    </row>
    <row r="110">
      <c r="A110" t="inlineStr">
        <is>
          <t>2035-01</t>
        </is>
      </c>
      <c r="B110" s="8" t="n">
        <v>0</v>
      </c>
      <c r="C110" s="8" t="n">
        <v>0</v>
      </c>
      <c r="D110" s="8" t="n">
        <v>0</v>
      </c>
      <c r="E110" s="8" t="n">
        <v>0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0</v>
      </c>
      <c r="K110" s="8" t="n">
        <v>-11042.96582877636</v>
      </c>
      <c r="L110" s="8" t="n">
        <v>0</v>
      </c>
      <c r="M110" s="8" t="n">
        <v>0</v>
      </c>
      <c r="N110" s="8" t="n">
        <v>164085.6735330811</v>
      </c>
      <c r="O110" s="8" t="n">
        <v>153042.7077043048</v>
      </c>
      <c r="P110" s="8" t="n">
        <v>23037465.34343042</v>
      </c>
    </row>
    <row r="111">
      <c r="A111" t="inlineStr">
        <is>
          <t>2035-02</t>
        </is>
      </c>
      <c r="B111" s="8" t="n">
        <v>0</v>
      </c>
      <c r="C111" s="8" t="n">
        <v>0</v>
      </c>
      <c r="D111" s="8" t="n">
        <v>0</v>
      </c>
      <c r="E111" s="8" t="n">
        <v>0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0</v>
      </c>
      <c r="K111" s="8" t="n">
        <v>-9685.958339323015</v>
      </c>
      <c r="L111" s="8" t="n">
        <v>0</v>
      </c>
      <c r="M111" s="8" t="n">
        <v>0</v>
      </c>
      <c r="N111" s="8" t="n">
        <v>143922.1149973702</v>
      </c>
      <c r="O111" s="8" t="n">
        <v>134236.1566580472</v>
      </c>
      <c r="P111" s="8" t="n">
        <v>23171701.50008846</v>
      </c>
    </row>
    <row r="112">
      <c r="A112" t="inlineStr">
        <is>
          <t>2035-03</t>
        </is>
      </c>
      <c r="B112" s="8" t="n">
        <v>0</v>
      </c>
      <c r="C112" s="8" t="n">
        <v>0</v>
      </c>
      <c r="D112" s="8" t="n">
        <v>0</v>
      </c>
      <c r="E112" s="8" t="n">
        <v>0</v>
      </c>
      <c r="F112" s="8" t="n">
        <v>0</v>
      </c>
      <c r="G112" s="8" t="n">
        <v>0</v>
      </c>
      <c r="H112" s="8" t="n">
        <v>0</v>
      </c>
      <c r="I112" s="8" t="n">
        <v>0</v>
      </c>
      <c r="J112" s="8" t="n">
        <v>0</v>
      </c>
      <c r="K112" s="8" t="n">
        <v>-8328.950849869669</v>
      </c>
      <c r="L112" s="8" t="n">
        <v>0</v>
      </c>
      <c r="M112" s="8" t="n">
        <v>0</v>
      </c>
      <c r="N112" s="8" t="n">
        <v>123758.5564616593</v>
      </c>
      <c r="O112" s="8" t="n">
        <v>115429.6056117896</v>
      </c>
      <c r="P112" s="8" t="n">
        <v>23287131.10570025</v>
      </c>
    </row>
    <row r="113">
      <c r="A113" t="inlineStr">
        <is>
          <t>2035-04</t>
        </is>
      </c>
      <c r="B113" s="8" t="n">
        <v>0</v>
      </c>
      <c r="C113" s="8" t="n">
        <v>0</v>
      </c>
      <c r="D113" s="8" t="n">
        <v>0</v>
      </c>
      <c r="E113" s="8" t="n">
        <v>0</v>
      </c>
      <c r="F113" s="8" t="n">
        <v>0</v>
      </c>
      <c r="G113" s="8" t="n">
        <v>0</v>
      </c>
      <c r="H113" s="8" t="n">
        <v>0</v>
      </c>
      <c r="I113" s="8" t="n">
        <v>0</v>
      </c>
      <c r="J113" s="8" t="n">
        <v>0</v>
      </c>
      <c r="K113" s="8" t="n">
        <v>-7195.245426285232</v>
      </c>
      <c r="L113" s="8" t="n">
        <v>0</v>
      </c>
      <c r="M113" s="8" t="n">
        <v>0</v>
      </c>
      <c r="N113" s="8" t="n">
        <v>106913.0078199886</v>
      </c>
      <c r="O113" s="8" t="n">
        <v>99717.76239370336</v>
      </c>
      <c r="P113" s="8" t="n">
        <v>23386848.86809396</v>
      </c>
    </row>
    <row r="114">
      <c r="A114" t="inlineStr">
        <is>
          <t>2035-05</t>
        </is>
      </c>
      <c r="B114" s="8" t="n">
        <v>0</v>
      </c>
      <c r="C114" s="8" t="n">
        <v>0</v>
      </c>
      <c r="D114" s="8" t="n">
        <v>0</v>
      </c>
      <c r="E114" s="8" t="n">
        <v>0</v>
      </c>
      <c r="F114" s="8" t="n">
        <v>0</v>
      </c>
      <c r="G114" s="8" t="n">
        <v>0</v>
      </c>
      <c r="H114" s="8" t="n">
        <v>0</v>
      </c>
      <c r="I114" s="8" t="n">
        <v>0</v>
      </c>
      <c r="J114" s="8" t="n">
        <v>0</v>
      </c>
      <c r="K114" s="8" t="n">
        <v>-6061.540002700795</v>
      </c>
      <c r="L114" s="8" t="n">
        <v>0</v>
      </c>
      <c r="M114" s="8" t="n">
        <v>0</v>
      </c>
      <c r="N114" s="8" t="n">
        <v>90067.45917831791</v>
      </c>
      <c r="O114" s="8" t="n">
        <v>84005.91917561711</v>
      </c>
      <c r="P114" s="8" t="n">
        <v>23470854.78726957</v>
      </c>
    </row>
    <row r="115">
      <c r="A115" t="inlineStr">
        <is>
          <t>2035-06</t>
        </is>
      </c>
      <c r="B115" s="8" t="n">
        <v>0</v>
      </c>
      <c r="C115" s="8" t="n">
        <v>0</v>
      </c>
      <c r="D115" s="8" t="n">
        <v>0</v>
      </c>
      <c r="E115" s="8" t="n">
        <v>0</v>
      </c>
      <c r="F115" s="8" t="n">
        <v>0</v>
      </c>
      <c r="G115" s="8" t="n">
        <v>0</v>
      </c>
      <c r="H115" s="8" t="n">
        <v>0</v>
      </c>
      <c r="I115" s="8" t="n">
        <v>0</v>
      </c>
      <c r="J115" s="8" t="n">
        <v>0</v>
      </c>
      <c r="K115" s="8" t="n">
        <v>-4927.834579116358</v>
      </c>
      <c r="L115" s="8" t="n">
        <v>0</v>
      </c>
      <c r="M115" s="8" t="n">
        <v>0</v>
      </c>
      <c r="N115" s="8" t="n">
        <v>73221.91053664722</v>
      </c>
      <c r="O115" s="8" t="n">
        <v>68294.07595753088</v>
      </c>
      <c r="P115" s="8" t="n">
        <v>23539148.8632271</v>
      </c>
    </row>
    <row r="116">
      <c r="A116" t="inlineStr">
        <is>
          <t>2035-07</t>
        </is>
      </c>
      <c r="B116" s="8" t="n">
        <v>0</v>
      </c>
      <c r="C116" s="8" t="n">
        <v>0</v>
      </c>
      <c r="D116" s="8" t="n">
        <v>0</v>
      </c>
      <c r="E116" s="8" t="n">
        <v>0</v>
      </c>
      <c r="F116" s="8" t="n">
        <v>0</v>
      </c>
      <c r="G116" s="8" t="n">
        <v>0</v>
      </c>
      <c r="H116" s="8" t="n">
        <v>0</v>
      </c>
      <c r="I116" s="8" t="n">
        <v>0</v>
      </c>
      <c r="J116" s="8" t="n">
        <v>0</v>
      </c>
      <c r="K116" s="8" t="n">
        <v>-3794.129155531921</v>
      </c>
      <c r="L116" s="8" t="n">
        <v>0</v>
      </c>
      <c r="M116" s="8" t="n">
        <v>0</v>
      </c>
      <c r="N116" s="8" t="n">
        <v>56376.36189497654</v>
      </c>
      <c r="O116" s="8" t="n">
        <v>52582.23273944462</v>
      </c>
      <c r="P116" s="8" t="n">
        <v>23591731.09596655</v>
      </c>
    </row>
    <row r="117">
      <c r="A117" t="inlineStr">
        <is>
          <t>2035-08</t>
        </is>
      </c>
      <c r="B117" s="8" t="n">
        <v>0</v>
      </c>
      <c r="C117" s="8" t="n">
        <v>0</v>
      </c>
      <c r="D117" s="8" t="n">
        <v>0</v>
      </c>
      <c r="E117" s="8" t="n">
        <v>0</v>
      </c>
      <c r="F117" s="8" t="n">
        <v>0</v>
      </c>
      <c r="G117" s="8" t="n">
        <v>0</v>
      </c>
      <c r="H117" s="8" t="n">
        <v>0</v>
      </c>
      <c r="I117" s="8" t="n">
        <v>0</v>
      </c>
      <c r="J117" s="8" t="n">
        <v>0</v>
      </c>
      <c r="K117" s="8" t="n">
        <v>-2987.372487063596</v>
      </c>
      <c r="L117" s="8" t="n">
        <v>0</v>
      </c>
      <c r="M117" s="8" t="n">
        <v>0</v>
      </c>
      <c r="N117" s="8" t="n">
        <v>44388.89282412475</v>
      </c>
      <c r="O117" s="8" t="n">
        <v>41401.52033706115</v>
      </c>
      <c r="P117" s="8" t="n">
        <v>23633132.61630361</v>
      </c>
    </row>
    <row r="118">
      <c r="A118" t="inlineStr">
        <is>
          <t>2035-09</t>
        </is>
      </c>
      <c r="B118" s="8" t="n">
        <v>0</v>
      </c>
      <c r="C118" s="8" t="n">
        <v>0</v>
      </c>
      <c r="D118" s="8" t="n">
        <v>0</v>
      </c>
      <c r="E118" s="8" t="n">
        <v>0</v>
      </c>
      <c r="F118" s="8" t="n">
        <v>0</v>
      </c>
      <c r="G118" s="8" t="n">
        <v>0</v>
      </c>
      <c r="H118" s="8" t="n">
        <v>0</v>
      </c>
      <c r="I118" s="8" t="n">
        <v>0</v>
      </c>
      <c r="J118" s="8" t="n">
        <v>0</v>
      </c>
      <c r="K118" s="8" t="n">
        <v>-2180.61581859527</v>
      </c>
      <c r="L118" s="8" t="n">
        <v>0</v>
      </c>
      <c r="M118" s="8" t="n">
        <v>0</v>
      </c>
      <c r="N118" s="8" t="n">
        <v>32401.42375327295</v>
      </c>
      <c r="O118" s="8" t="n">
        <v>30220.80793467768</v>
      </c>
      <c r="P118" s="8" t="n">
        <v>23663353.42423829</v>
      </c>
    </row>
    <row r="119">
      <c r="A119" t="inlineStr">
        <is>
          <t>2035-10</t>
        </is>
      </c>
      <c r="B119" s="8" t="n">
        <v>0</v>
      </c>
      <c r="C119" s="8" t="n">
        <v>0</v>
      </c>
      <c r="D119" s="8" t="n">
        <v>0</v>
      </c>
      <c r="E119" s="8" t="n">
        <v>0</v>
      </c>
      <c r="F119" s="8" t="n">
        <v>0</v>
      </c>
      <c r="G119" s="8" t="n">
        <v>0</v>
      </c>
      <c r="H119" s="8" t="n">
        <v>0</v>
      </c>
      <c r="I119" s="8" t="n">
        <v>0</v>
      </c>
      <c r="J119" s="8" t="n">
        <v>0</v>
      </c>
      <c r="K119" s="8" t="n">
        <v>-1373.859150126943</v>
      </c>
      <c r="L119" s="8" t="n">
        <v>0</v>
      </c>
      <c r="M119" s="8" t="n">
        <v>0</v>
      </c>
      <c r="N119" s="8" t="n">
        <v>20413.95468242115</v>
      </c>
      <c r="O119" s="8" t="n">
        <v>19040.09553229421</v>
      </c>
      <c r="P119" s="8" t="n">
        <v>23682393.51977058</v>
      </c>
    </row>
    <row r="120">
      <c r="A120" t="inlineStr">
        <is>
          <t>2035-11</t>
        </is>
      </c>
      <c r="B120" s="8" t="n">
        <v>0</v>
      </c>
      <c r="C120" s="8" t="n">
        <v>0</v>
      </c>
      <c r="D120" s="8" t="n">
        <v>0</v>
      </c>
      <c r="E120" s="8" t="n">
        <v>0</v>
      </c>
      <c r="F120" s="8" t="n">
        <v>0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-915.906100084629</v>
      </c>
      <c r="L120" s="8" t="n">
        <v>0</v>
      </c>
      <c r="M120" s="8" t="n">
        <v>0</v>
      </c>
      <c r="N120" s="8" t="n">
        <v>13609.3031216141</v>
      </c>
      <c r="O120" s="8" t="n">
        <v>12693.39702152947</v>
      </c>
      <c r="P120" s="8" t="n">
        <v>23695086.91679211</v>
      </c>
    </row>
    <row r="121">
      <c r="A121" t="inlineStr">
        <is>
          <t>2035-12</t>
        </is>
      </c>
      <c r="B121" s="8" t="n">
        <v>0</v>
      </c>
      <c r="C121" s="8" t="n">
        <v>0</v>
      </c>
      <c r="D121" s="8" t="n">
        <v>0</v>
      </c>
      <c r="E121" s="8" t="n">
        <v>0</v>
      </c>
      <c r="F121" s="8" t="n">
        <v>0</v>
      </c>
      <c r="G121" s="8" t="n">
        <v>0</v>
      </c>
      <c r="H121" s="8" t="n">
        <v>0</v>
      </c>
      <c r="I121" s="8" t="n">
        <v>0</v>
      </c>
      <c r="J121" s="8" t="n">
        <v>0</v>
      </c>
      <c r="K121" s="8" t="n">
        <v>-457.9530500423145</v>
      </c>
      <c r="L121" s="8" t="n">
        <v>0</v>
      </c>
      <c r="M121" s="8" t="n">
        <v>0</v>
      </c>
      <c r="N121" s="8" t="n">
        <v>6804.65156080705</v>
      </c>
      <c r="O121" s="8" t="n">
        <v>6346.698510764736</v>
      </c>
      <c r="P121" s="8" t="n">
        <v>23701433.61530288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4" customWidth="1" min="5" max="5"/>
    <col width="16" customWidth="1" min="6" max="6"/>
    <col width="17" customWidth="1" min="7" max="7"/>
  </cols>
  <sheetData>
    <row r="1" ht="30" customHeight="1">
      <c r="A1" s="3" t="inlineStr">
        <is>
          <t>Assumption</t>
        </is>
      </c>
      <c r="B1" s="3" t="inlineStr">
        <is>
          <t>Low value</t>
        </is>
      </c>
      <c r="C1" s="3" t="inlineStr">
        <is>
          <t>High value</t>
        </is>
      </c>
      <c r="D1" s="3" t="inlineStr">
        <is>
          <t>NPV at low</t>
        </is>
      </c>
      <c r="E1" s="3" t="inlineStr">
        <is>
          <t>NPV at high</t>
        </is>
      </c>
      <c r="F1" s="3" t="inlineStr">
        <is>
          <t>Change at low</t>
        </is>
      </c>
      <c r="G1" s="3" t="inlineStr">
        <is>
          <t>Change at high</t>
        </is>
      </c>
    </row>
    <row r="2">
      <c r="A2" t="inlineStr">
        <is>
          <t>Infrastructure cost</t>
        </is>
      </c>
      <c r="B2" t="inlineStr">
        <is>
          <t>R$ 80/m2</t>
        </is>
      </c>
      <c r="C2" t="inlineStr">
        <is>
          <t>R$ 160/m2</t>
        </is>
      </c>
      <c r="D2" s="8" t="n">
        <v>5881787.615023445</v>
      </c>
      <c r="E2" s="8" t="n">
        <v>-3963888.479676823</v>
      </c>
      <c r="F2" s="8" t="n">
        <v>3692128.535512598</v>
      </c>
      <c r="G2" s="8" t="n">
        <v>-6153547.55918767</v>
      </c>
    </row>
    <row r="3">
      <c r="A3" t="inlineStr">
        <is>
          <t>Lot and land prices</t>
        </is>
      </c>
      <c r="B3" t="inlineStr">
        <is>
          <t>-15%</t>
        </is>
      </c>
      <c r="C3" t="inlineStr">
        <is>
          <t>+10%</t>
        </is>
      </c>
      <c r="D3" s="8" t="n">
        <v>-2941110.674924779</v>
      </c>
      <c r="E3" s="8" t="n">
        <v>5610172.249134595</v>
      </c>
      <c r="F3" s="8" t="n">
        <v>-5130769.754435627</v>
      </c>
      <c r="G3" s="8" t="n">
        <v>3420513.169623747</v>
      </c>
    </row>
    <row r="4">
      <c r="A4" t="inlineStr">
        <is>
          <t>Hurdle rate</t>
        </is>
      </c>
      <c r="B4" t="inlineStr">
        <is>
          <t>11% a year</t>
        </is>
      </c>
      <c r="C4" t="inlineStr">
        <is>
          <t>18% a year</t>
        </is>
      </c>
      <c r="D4" s="8" t="n">
        <v>5260091.298465875</v>
      </c>
      <c r="E4" s="8" t="n">
        <v>-1086487.644586075</v>
      </c>
      <c r="F4" s="8" t="n">
        <v>3070432.218955028</v>
      </c>
      <c r="G4" s="8" t="n">
        <v>-3276146.724096922</v>
      </c>
    </row>
    <row r="5">
      <c r="A5" t="inlineStr">
        <is>
          <t>Months to sell all lots</t>
        </is>
      </c>
      <c r="B5" t="inlineStr">
        <is>
          <t>24 months</t>
        </is>
      </c>
      <c r="C5" t="inlineStr">
        <is>
          <t>48 months</t>
        </is>
      </c>
      <c r="D5" s="8" t="n">
        <v>4224794.444187178</v>
      </c>
      <c r="E5" s="8" t="n">
        <v>319285.7632989266</v>
      </c>
      <c r="F5" s="8" t="n">
        <v>2035135.364676331</v>
      </c>
      <c r="G5" s="8" t="n">
        <v>-1870373.31621192</v>
      </c>
    </row>
    <row r="6">
      <c r="A6" t="inlineStr">
        <is>
          <t>Holding before a whole sale</t>
        </is>
      </c>
      <c r="B6" t="inlineStr">
        <is>
          <t>24 months</t>
        </is>
      </c>
      <c r="C6" t="inlineStr">
        <is>
          <t>48 months</t>
        </is>
      </c>
      <c r="D6" s="8" t="n">
        <v>2378640.865937457</v>
      </c>
      <c r="E6" s="8" t="n">
        <v>1667319.730053182</v>
      </c>
      <c r="F6" s="8" t="n">
        <v>188981.7864266103</v>
      </c>
      <c r="G6" s="8" t="n">
        <v>-522339.3494576646</v>
      </c>
    </row>
    <row r="7">
      <c r="A7" t="inlineStr">
        <is>
          <t>Default on installments</t>
        </is>
      </c>
      <c r="B7" t="inlineStr">
        <is>
          <t>0%</t>
        </is>
      </c>
      <c r="C7" t="inlineStr">
        <is>
          <t>3%</t>
        </is>
      </c>
      <c r="D7" s="8" t="n">
        <v>2397753.155211764</v>
      </c>
      <c r="E7" s="8" t="n">
        <v>1773470.928109017</v>
      </c>
      <c r="F7" s="8" t="n">
        <v>208094.0757009168</v>
      </c>
      <c r="G7" s="8" t="n">
        <v>-416188.1514018299</v>
      </c>
    </row>
    <row r="8">
      <c r="A8" t="inlineStr">
        <is>
          <t>Share of sales paid in cash</t>
        </is>
      </c>
      <c r="B8" t="inlineStr">
        <is>
          <t>20%</t>
        </is>
      </c>
      <c r="C8" t="inlineStr">
        <is>
          <t>40%</t>
        </is>
      </c>
      <c r="D8" s="8" t="n">
        <v>2155447.045159177</v>
      </c>
      <c r="E8" s="8" t="n">
        <v>2223871.113862523</v>
      </c>
      <c r="F8" s="8" t="n">
        <v>-34212.03435166972</v>
      </c>
      <c r="G8" s="8" t="n">
        <v>34212.03435167624</v>
      </c>
    </row>
    <row r="10">
      <c r="A10" t="inlineStr">
        <is>
          <t>Base portfolio NPV: R$ 2,189,659. One assumption moves at a time.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4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Area m2</t>
        </is>
      </c>
      <c r="D1" s="3" t="inlineStr">
        <is>
          <t>Rule picks</t>
        </is>
      </c>
      <c r="E1" s="3" t="inlineStr">
        <is>
          <t>VGV subdivided</t>
        </is>
      </c>
      <c r="F1" s="3" t="inlineStr">
        <is>
          <t>NPV subdivided</t>
        </is>
      </c>
      <c r="G1" s="3" t="inlineStr">
        <is>
          <t>IRR subdivided</t>
        </is>
      </c>
      <c r="H1" s="3" t="inlineStr">
        <is>
          <t>VGV sold whole</t>
        </is>
      </c>
      <c r="I1" s="3" t="inlineStr">
        <is>
          <t>NPV sold whole</t>
        </is>
      </c>
      <c r="J1" s="3" t="inlineStr">
        <is>
          <t>IRR sold whole</t>
        </is>
      </c>
    </row>
    <row r="2">
      <c r="A2" t="inlineStr">
        <is>
          <t>T02</t>
        </is>
      </c>
      <c r="B2" t="inlineStr">
        <is>
          <t>Área Jardim Novo</t>
        </is>
      </c>
      <c r="C2" s="12" t="n">
        <v>33800</v>
      </c>
      <c r="D2" t="inlineStr">
        <is>
          <t>subdivision</t>
        </is>
      </c>
      <c r="E2" s="8" t="n">
        <v>8582700</v>
      </c>
      <c r="F2" s="8" t="n">
        <v>315228.6276130653</v>
      </c>
      <c r="G2" s="9" t="n">
        <v>0.1621736180559723</v>
      </c>
      <c r="H2" s="8" t="n">
        <v>3714539.395481213</v>
      </c>
      <c r="I2" s="8" t="n">
        <v>-573186.0552866363</v>
      </c>
      <c r="J2" s="9" t="n">
        <v>0.05311175134361923</v>
      </c>
    </row>
    <row r="3">
      <c r="A3" t="inlineStr">
        <is>
          <t>T04</t>
        </is>
      </c>
      <c r="B3" t="inlineStr">
        <is>
          <t>Gleba Boa Vista</t>
        </is>
      </c>
      <c r="C3" s="12" t="n">
        <v>68000</v>
      </c>
      <c r="D3" t="inlineStr">
        <is>
          <t>subdivision</t>
        </is>
      </c>
      <c r="E3" s="8" t="n">
        <v>12566400</v>
      </c>
      <c r="F3" s="8" t="n">
        <v>271873.2580449328</v>
      </c>
      <c r="G3" s="9" t="n">
        <v>0.153674782407454</v>
      </c>
      <c r="H3" s="8" t="n">
        <v>4326495.58987846</v>
      </c>
      <c r="I3" s="8" t="n">
        <v>-589764.4056604622</v>
      </c>
      <c r="J3" s="9" t="n">
        <v>0.06139106572527475</v>
      </c>
    </row>
    <row r="4">
      <c r="A4" t="inlineStr">
        <is>
          <t>T05</t>
        </is>
      </c>
      <c r="B4" t="inlineStr">
        <is>
          <t>Gleba Santa Rita</t>
        </is>
      </c>
      <c r="C4" s="12" t="n">
        <v>73600</v>
      </c>
      <c r="D4" t="inlineStr">
        <is>
          <t>subdivision</t>
        </is>
      </c>
      <c r="E4" s="8" t="n">
        <v>13406400</v>
      </c>
      <c r="F4" s="8" t="n">
        <v>381690.767499178</v>
      </c>
      <c r="G4" s="9" t="n">
        <v>0.1582845948112732</v>
      </c>
      <c r="H4" s="8" t="n">
        <v>4853078.68948078</v>
      </c>
      <c r="I4" s="8" t="n">
        <v>-336344.0258402606</v>
      </c>
      <c r="J4" s="9" t="n">
        <v>0.09735726967202218</v>
      </c>
    </row>
    <row r="5">
      <c r="A5" t="inlineStr">
        <is>
          <t>T09</t>
        </is>
      </c>
      <c r="B5" t="inlineStr">
        <is>
          <t>Gleba Ribeirão Claro</t>
        </is>
      </c>
      <c r="C5" s="12" t="n">
        <v>76200</v>
      </c>
      <c r="D5" t="inlineStr">
        <is>
          <t>subdivision</t>
        </is>
      </c>
      <c r="E5" s="8" t="n">
        <v>17601600</v>
      </c>
      <c r="F5" s="8" t="n">
        <v>2271440.117503099</v>
      </c>
      <c r="G5" s="9" t="n">
        <v>0.2349764984974387</v>
      </c>
      <c r="H5" s="8" t="n">
        <v>5817864.069683624</v>
      </c>
      <c r="I5" s="8" t="n">
        <v>-322381.4045058734</v>
      </c>
      <c r="J5" s="9" t="n">
        <v>0.1055026898035438</v>
      </c>
    </row>
    <row r="7">
      <c r="A7" t="inlineStr">
        <is>
          <t>Rule: urban or urban-expansion parcels of at least 20,000 m2 are subdivided; the rest are sold whole.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50" customWidth="1" min="4" max="4"/>
    <col width="80" customWidth="1" min="5" max="5"/>
    <col width="60" customWidth="1" min="6" max="6"/>
    <col width="50" customWidth="1" min="7" max="7"/>
  </cols>
  <sheetData>
    <row r="1" ht="30" customHeight="1">
      <c r="A1" s="3" t="inlineStr">
        <is>
          <t>Id</t>
        </is>
      </c>
      <c r="B1" s="3" t="inlineStr">
        <is>
          <t>Recommendation</t>
        </is>
      </c>
      <c r="C1" s="3" t="inlineStr">
        <is>
          <t>Number check</t>
        </is>
      </c>
      <c r="D1" s="3" t="inlineStr">
        <is>
          <t>Headline</t>
        </is>
      </c>
      <c r="E1" s="3" t="inlineStr">
        <is>
          <t>Thesis</t>
        </is>
      </c>
      <c r="F1" s="3" t="inlineStr">
        <is>
          <t>Risks</t>
        </is>
      </c>
      <c r="G1" s="3" t="inlineStr">
        <is>
          <t>Conditions</t>
        </is>
      </c>
    </row>
    <row r="2">
      <c r="A2" s="13" t="inlineStr">
        <is>
          <t>T01</t>
        </is>
      </c>
      <c r="B2" s="13" t="inlineStr">
        <is>
          <t>do not invest</t>
        </is>
      </c>
      <c r="C2" s="13" t="inlineStr">
        <is>
          <t>checked</t>
        </is>
      </c>
      <c r="D2" s="13" t="inlineStr">
        <is>
          <t>Sítio Pinheirinho does not clear our 14.0% hurdle rate, so we should pass.</t>
        </is>
      </c>
      <c r="E2" s="13" t="inlineStr">
        <is>
          <t>The whole-parcel strategy shows a net profit of R$ 254,823 on a VGV of R$ 1,124,426. That is a 22.7% margin. But the NPV at the 14.0% hurdle rate is R$ -56,549, and the IRR is only 10.9% per year. Capital is tied up for 43 months, and payback takes 38 months. The deal earns less than our required return.</t>
        </is>
      </c>
      <c r="F2" s="13" t="inlineStr">
        <is>
          <t>- IRR of 10.9% per year sits below the 14.0% hurdle rate.
- Long cash flow duration of 43 months and maximum cash exposure of R$ 764,282 tie up capital.
- Holding costs of R$ 37,598 for maintenance and property tax erode returns over the hold.</t>
        </is>
      </c>
      <c r="G2" s="13" t="inlineStr">
        <is>
          <t>- Purchase price falls enough to bring NPV at the 14.0% hurdle rate to zero or above.
- Sales timeline shortens materially, so the IRR clears 14.0% per year.</t>
        </is>
      </c>
    </row>
    <row r="3">
      <c r="A3" s="13" t="inlineStr">
        <is>
          <t>T02</t>
        </is>
      </c>
      <c r="B3" s="13" t="inlineStr">
        <is>
          <t>invest with conditions</t>
        </is>
      </c>
      <c r="C3" s="13" t="inlineStr">
        <is>
          <t>checked</t>
        </is>
      </c>
      <c r="D3" s="13" t="inlineStr">
        <is>
          <t>T02 Área Jardim Novo clears the hurdle rate, but payback at 56 months is long and the case needs firm sales pricing.</t>
        </is>
      </c>
      <c r="E3" s="13" t="inlineStr">
        <is>
          <t>The parcel shows a positive NPV of R$ 315,229 at the 14.0% hurdle rate and an IRR of 16.2% per year. Net profit is R$ 3,572,060 on a VGV of R$ 8,582,700, a margin of 41.6%. Maximum cash exposure reaches R$ 4,328,382, and the cash flow runs for 108 months. The margin is healthy, but the return depends on selling 67 lots at R$ 128,100 each.</t>
        </is>
      </c>
      <c r="F3" s="13" t="inlineStr">
        <is>
          <t>- Payback at 56 months ties up capital for a long time.
- Infrastructure and site labor of R$ 2,387,880 could overrun.
- NPV is only R$ 315,229, so a small drop in prices or sales pace erases the hurdle margin.</t>
        </is>
      </c>
      <c r="G3" s="13" t="inlineStr">
        <is>
          <t>- Confirm the R$ 128,100 price per lot with pre-sale demand before committing.
- Lock a fixed-price construction contract for infrastructure and site labor.</t>
        </is>
      </c>
    </row>
    <row r="4">
      <c r="A4" s="13" t="inlineStr">
        <is>
          <t>T03</t>
        </is>
      </c>
      <c r="B4" s="13" t="inlineStr">
        <is>
          <t>do not invest</t>
        </is>
      </c>
      <c r="C4" s="13" t="inlineStr">
        <is>
          <t>checked</t>
        </is>
      </c>
      <c r="D4" s="13" t="inlineStr">
        <is>
          <t>T03 Chácara Água Limpa does not clear our 14.0% hurdle rate, so we should pass.</t>
        </is>
      </c>
      <c r="E4" s="13" t="inlineStr">
        <is>
          <t>The parcel shows a nominal net profit of R$ 265,787 on a VGV of R$ 1,222,756, a margin of 21.7%. But the NPV at the 14.0% hurdle rate is R$ -71,376, and the IRR is only 10.4% per year. Payback takes 38 months within a 43-month cash flow, and maximum cash exposure reaches R$ 842,438.</t>
        </is>
      </c>
      <c r="F4" s="13" t="inlineStr">
        <is>
          <t>- Returns fall below the 14.0% hurdle rate, so the deal destroys value on a risk-adjusted basis.
- Long payback of 38 months ties up capital for most of the 43-month cash flow duration.
- Holding costs of R$ 50,962 for maintenance and property tax erode the profit.</t>
        </is>
      </c>
      <c r="G4" s="13" t="inlineStr">
        <is>
          <t>- Acquisition price or sales assumptions would need to improve enough to bring NPV at 14.0% to zero or above.</t>
        </is>
      </c>
    </row>
    <row r="5">
      <c r="A5" s="13" t="inlineStr">
        <is>
          <t>T04</t>
        </is>
      </c>
      <c r="B5" s="13" t="inlineStr">
        <is>
          <t>invest with conditions</t>
        </is>
      </c>
      <c r="C5" s="13" t="inlineStr">
        <is>
          <t>checked</t>
        </is>
      </c>
      <c r="D5" s="13" t="inlineStr">
        <is>
          <t>T04 Gleba Boa Vista clears our 14.0% hurdle rate, but payback is slow, so invest only if the conditions hold.</t>
        </is>
      </c>
      <c r="E5" s="13" t="inlineStr">
        <is>
          <t>The parcel shows a net profit of R$ 4,804,336 on a VGV of R$ 12,566,400, a margin of 38.2%. NPV at the 14.0% hurdle rate is R$ 271,873, and IRR is 15.4% per year. The maximum cash exposure is R$ 6,757,664, and payback takes 59 months.</t>
        </is>
      </c>
      <c r="F5" s="13" t="inlineStr">
        <is>
          <t>- Payback of 59 months within a 108-month cash flow leaves a long period of capital at risk.
- Infrastructure and site labor of R$ 4,847,040 is a large cost that could overrun.
- The NPV margin over the hurdle rate is thin, so small changes in price or timing could push returns below 14.0%.</t>
        </is>
      </c>
      <c r="G5" s="13" t="inlineStr">
        <is>
          <t>- Confirm the price per lot of R$ 92,400 across the 136 lots before committing.
- Lock the infrastructure budget of R$ 4,847,040 with fixed-price contracts.</t>
        </is>
      </c>
    </row>
    <row r="6">
      <c r="A6" s="13" t="inlineStr">
        <is>
          <t>T05</t>
        </is>
      </c>
      <c r="B6" s="13" t="inlineStr">
        <is>
          <t>invest with conditions</t>
        </is>
      </c>
      <c r="C6" s="13" t="inlineStr">
        <is>
          <t>checked</t>
        </is>
      </c>
      <c r="D6" s="13" t="inlineStr">
        <is>
          <t>Gleba Santa Rita clears the hurdle rate, but payback is long and cash exposure is high, so proceed only with conditions.</t>
        </is>
      </c>
      <c r="E6" s="13" t="inlineStr">
        <is>
          <t>The parcel shows an NPV of R$ 381,691 at the 14.0% hurdle rate and an IRR of 15.8% per year. Net profit is R$ 5,205,962 on a VGV of R$ 13,406,400, a margin of 38.8%. The subdivision plan yields 147 lots at R$ 91,200 each. Maximum cash exposure reaches R$ 7,129,131, and payback takes 59 months.</t>
        </is>
      </c>
      <c r="F6" s="13" t="inlineStr">
        <is>
          <t>- Payback of 59 months ties up capital for a long period within a 108-month cash flow.
- Infrastructure and site labor of R$ 5,239,080 is large relative to the acquisition price, so cost overruns would cut returns quickly.
- NPV is positive but thin, so a small drop in lot prices or sales pace could push it below the hurdle rate.</t>
        </is>
      </c>
      <c r="G6" s="13" t="inlineStr">
        <is>
          <t>- Confirm infrastructure and site labor costs with fixed-price quotes before committing capital.
- Secure pre-sales or a sales pace that supports the 12-month launch timeline.</t>
        </is>
      </c>
    </row>
    <row r="7">
      <c r="A7" s="13" t="inlineStr">
        <is>
          <t>T06</t>
        </is>
      </c>
      <c r="B7" s="13" t="inlineStr">
        <is>
          <t>do not invest</t>
        </is>
      </c>
      <c r="C7" s="13" t="inlineStr">
        <is>
          <t>checked</t>
        </is>
      </c>
      <c r="D7" s="13" t="inlineStr">
        <is>
          <t>T06 Área Avenida Central destroys value at our 14.0% hurdle rate, so we should pass.</t>
        </is>
      </c>
      <c r="E7" s="13" t="inlineStr">
        <is>
          <t>The parcel shows a net profit of R$ 347,299 on a R$ 1,113,000 acquisition, a 20.1% margin on VGV. But the IRR is 9.4% per year, below the 14.0% hurdle rate. At that hurdle the NPV is R$ -130,838, so the deal loses value after capital cost. Payback takes 38 months over a 43-month cash flow.</t>
        </is>
      </c>
      <c r="F7" s="13" t="inlineStr">
        <is>
          <t>- Returns fall short of the hurdle: IRR of 9.4% per year against 14.0%.
- Long capital tie-up: maximum cash exposure of R$ 1,214,910 for up to 43 months.
- Holding costs of R$ 51,825 erode the margin over the cash flow period.</t>
        </is>
      </c>
      <c r="G7" s="13" t="inlineStr">
        <is>
          <t>- Acquisition price is renegotiated low enough to lift NPV at the 14.0% hurdle rate to zero or above.</t>
        </is>
      </c>
    </row>
    <row r="8">
      <c r="A8" s="13" t="inlineStr">
        <is>
          <t>T07</t>
        </is>
      </c>
      <c r="B8" s="13" t="inlineStr">
        <is>
          <t>do not invest</t>
        </is>
      </c>
      <c r="C8" s="13" t="inlineStr">
        <is>
          <t>checked</t>
        </is>
      </c>
      <c r="D8" s="13" t="inlineStr">
        <is>
          <t>T07 Terreno Esquina Comercial clears no hurdle: NPV at 14.0% is R$ -231,538, so we should pass.</t>
        </is>
      </c>
      <c r="E8" s="13" t="inlineStr">
        <is>
          <t>The parcel costs R$ 1,074,000 and sells for a VGV of R$ 1,476,098. Net profit is R$ 179,058, a margin of 12.1% on VGV. The IRR is only 5.2% per year, well below the 14.0% hurdle rate. Payback takes 40 months over a 43-month cash flow, which ties up capital for too long.</t>
        </is>
      </c>
      <c r="F8" s="13" t="inlineStr">
        <is>
          <t>- Returns fall far short of the 14.0% hurdle rate, with an IRR of 5.2% per year.
- Maximum cash exposure reaches R$ 1,158,780, and holding costs of R$ 36,450 erode the margin.
- Payback at 40 months leaves little room for any sales delay.</t>
        </is>
      </c>
      <c r="G8" s="13" t="inlineStr">
        <is>
          <t>- Acquisition price falls enough to bring NPV at 14.0% to zero or better.
- Sales value rises or holding costs fall enough to lift the IRR well above 14.0%.</t>
        </is>
      </c>
    </row>
    <row r="9">
      <c r="A9" s="13" t="inlineStr">
        <is>
          <t>T08</t>
        </is>
      </c>
      <c r="B9" s="13" t="inlineStr">
        <is>
          <t>do not invest</t>
        </is>
      </c>
      <c r="C9" s="13" t="inlineStr">
        <is>
          <t>checked</t>
        </is>
      </c>
      <c r="D9" s="13" t="inlineStr">
        <is>
          <t>T08 Área Vila Operária fails the 14.0% hurdle rate, so we should pass.</t>
        </is>
      </c>
      <c r="E9" s="13" t="inlineStr">
        <is>
          <t>The parcel shows a nominal net profit of R$ 90,998 on a VGV of R$ 953,102, a margin of 9.5%. At the 14.0% hurdle rate the NPV is R$ -172,327, and the IRR is only 4.1% per year. Payback takes 41 months, and maximum cash exposure reaches R$ 772,830.</t>
        </is>
      </c>
      <c r="F9" s="13" t="inlineStr">
        <is>
          <t>- Returns are far below the 14.0% hurdle rate, so capital is destroyed in present-value terms.
- Payback at 41 months within a 43-month cash flow leaves little room for delays in sales or permits.
- Holding costs of R$ 36,105 add to the drag on an already thin margin.</t>
        </is>
      </c>
      <c r="G9" s="13" t="inlineStr">
        <is>
          <t>- Acquisition price or total sales value would need to change enough to bring NPV at the 14.0% hurdle rate to zero or above.</t>
        </is>
      </c>
    </row>
    <row r="10">
      <c r="A10" s="13" t="inlineStr">
        <is>
          <t>T09</t>
        </is>
      </c>
      <c r="B10" s="13" t="inlineStr">
        <is>
          <t>invest with conditions</t>
        </is>
      </c>
      <c r="C10" s="13" t="inlineStr">
        <is>
          <t>checked</t>
        </is>
      </c>
      <c r="D10" s="13" t="inlineStr">
        <is>
          <t>Parcel T09 Gleba Ribeirão Claro clears the 14.0% hurdle with an NPV of R$ 2,271,440, but cash exposure and a 49-month payback require conditions.</t>
        </is>
      </c>
      <c r="E10" s="13" t="inlineStr">
        <is>
          <t>The subdivision of 76,200 m2 into 152 lots at R$ 115,800 per lot gives a VGV of R$ 17,601,600 and a net profit of R$ 8,874,451. The margin on VGV is 50.4%, and the IRR is 23.5% per year against a 14.0% hurdle. The purchase price is R$ 3,563,000, but maximum cash exposure reaches R$ 7,335,669.</t>
        </is>
      </c>
      <c r="F10" s="13" t="inlineStr">
        <is>
          <t>- Maximum cash exposure of R$ 7,335,669 is more than twice the acquisition price.
- Payback takes 49 months within a 108-month cash flow duration, so returns depend on sustained sales.
- Infrastructure and site labor of R$ 5,417,280 is a large cost that could overrun.</t>
        </is>
      </c>
      <c r="G10" s="13" t="inlineStr">
        <is>
          <t>- Confirm the infrastructure and site labor budget before committing capital.
- Secure financing or equity commitments that cover the full maximum cash exposure of R$ 7,335,669.</t>
        </is>
      </c>
    </row>
    <row r="11">
      <c r="A11" s="13" t="inlineStr">
        <is>
          <t>T10</t>
        </is>
      </c>
      <c r="B11" s="13" t="inlineStr">
        <is>
          <t>do not invest</t>
        </is>
      </c>
      <c r="C11" s="13" t="inlineStr">
        <is>
          <t>checked</t>
        </is>
      </c>
      <c r="D11" s="13" t="inlineStr">
        <is>
          <t>T10 Terreno Rua das Acácias does not clear our 14.0% hurdle rate, so we should pass on it.</t>
        </is>
      </c>
      <c r="E11" s="13" t="inlineStr">
        <is>
          <t>The parcel shows a nominal net profit of R$ 106,659, a margin on VGV of 13.0%, and an IRR of 5.7% per year. At the 14.0% hurdle rate, the NPV is R$ -121,642, which means the deal destroys value for us. Payback takes 40 months over a 43-month cash flow, which ties up capital for too long.</t>
        </is>
      </c>
      <c r="F11" s="13" t="inlineStr">
        <is>
          <t>- The IRR of 5.7% per year sits far below the 14.0% hurdle rate, so returns would not compensate for the capital at risk.
- Maximum cash exposure reaches R$ 637,540, and holding costs of R$ 20,990 keep eating into the margin over the long timeline.</t>
        </is>
      </c>
      <c r="G11" s="13" t="inlineStr">
        <is>
          <t>- The acquisition price or sales value would need to change enough to bring the NPV at the 14.0% hurdle rate to zero or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2026-10-19T21:47:02Z</dcterms:created>
  <dcterms:modified xmlns:dcterms="http://purl.org/dc/terms/" xmlns:xsi="http://www.w3.org/2001/XMLSchema-instance" xsi:type="dcterms:W3CDTF">2026-10-19T21:47:02Z</dcterms:modified>
</cp:coreProperties>
</file>